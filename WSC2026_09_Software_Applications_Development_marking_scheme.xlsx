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autoCompressPictures="0"/>
  <mc:AlternateContent>
    <mc:Choice Requires="x15">
      <x15ac:absPath xmlns:x15ac="http://schemas.microsoft.com/office/spreadsheetml/2010/11/ac" url="/Users/adam/git/CIS/src/main/resources/org/worldskills/cis/service/skill/"/>
    </mc:Choice>
  </mc:AlternateContent>
  <xr:revisionPtr revIDLastSave="0" documentId="13_ncr:1_{9CE4662E-C534-7A48-8AC9-72D297A8977A}" xr6:coauthVersionLast="47" xr6:coauthVersionMax="47" xr10:uidLastSave="{00000000-0000-0000-0000-000000000000}"/>
  <bookViews>
    <workbookView xWindow="15580" yWindow="-26720" windowWidth="28040" windowHeight="17440" xr2:uid="{00000000-000D-0000-FFFF-FFFF00000000}"/>
  </bookViews>
  <sheets>
    <sheet name="CIS Marking Scheme Import" sheetId="1" r:id="rId1"/>
    <sheet name="Calculations" sheetId="6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<sst xmlns="http://schemas.openxmlformats.org/spreadsheetml/2006/main" count="2183" uniqueCount="632">
  <si>
    <t>Mark</t>
  </si>
  <si>
    <t>Aspect - Description</t>
  </si>
  <si>
    <t>Judg Score</t>
  </si>
  <si>
    <t>Max
Mark</t>
  </si>
  <si>
    <t>Total
Mark</t>
  </si>
  <si>
    <t>Competition</t>
  </si>
  <si>
    <t>Aspect
Type
M = Meas
J = Judg</t>
  </si>
  <si>
    <t>Criterion A</t>
  </si>
  <si>
    <t>Extra Aspect Description (Meas or Judg)
OR
Judgement Score Description (Judg only)</t>
  </si>
  <si>
    <t>Requirement
(Measurement Only)</t>
  </si>
  <si>
    <t>Day of Marking</t>
  </si>
  <si>
    <t>Calculation Row 
(Export only)</t>
  </si>
  <si>
    <t>Section</t>
  </si>
  <si>
    <t>Name</t>
  </si>
  <si>
    <t>Aspect Marks</t>
  </si>
  <si>
    <t>Sub
Criterion
ID</t>
  </si>
  <si>
    <t>Sub Criterion
Name or Description</t>
  </si>
  <si>
    <t>Criteria</t>
  </si>
  <si>
    <t>Variation</t>
  </si>
  <si>
    <t>ID</t>
  </si>
  <si>
    <t>Total Variation</t>
  </si>
  <si>
    <t>WorldSkills Occupational Standards</t>
  </si>
  <si>
    <t>WSOS Marks</t>
  </si>
  <si>
    <t>WSOS Section</t>
  </si>
  <si>
    <t>09 Software Applications Development</t>
  </si>
  <si>
    <t>Work organization and management</t>
  </si>
  <si>
    <t>Communication and interpersonal skills</t>
  </si>
  <si>
    <t>Problem solving, innovation, and creativity</t>
  </si>
  <si>
    <t>Analysis and design of software solutions</t>
  </si>
  <si>
    <t>Development of software solutions</t>
  </si>
  <si>
    <t>Testing software solutions</t>
  </si>
  <si>
    <t>A</t>
  </si>
  <si>
    <t>Day 1 - Mobile Session A</t>
  </si>
  <si>
    <t>B</t>
  </si>
  <si>
    <t>Day 1 - Mobile Session B</t>
  </si>
  <si>
    <t>C</t>
  </si>
  <si>
    <t>Day 2- Desktop Session</t>
  </si>
  <si>
    <t>D</t>
  </si>
  <si>
    <t>Day 2 - Afternoon</t>
  </si>
  <si>
    <t>E</t>
  </si>
  <si>
    <t>Day 3 - Morning</t>
  </si>
  <si>
    <t>F</t>
  </si>
  <si>
    <t>Day 3 - Afternoon</t>
  </si>
  <si>
    <t>G</t>
  </si>
  <si>
    <t>Day 4 - Morning</t>
  </si>
  <si>
    <t>H</t>
  </si>
  <si>
    <t>I</t>
  </si>
  <si>
    <t>A1</t>
  </si>
  <si>
    <t>Session 1 - Work Organization and Time Management</t>
  </si>
  <si>
    <t/>
  </si>
  <si>
    <t>1</t>
  </si>
  <si>
    <t>YesNo</t>
  </si>
  <si>
    <t>PASS_FAIL</t>
  </si>
  <si>
    <t>M</t>
  </si>
  <si>
    <t>All deliverables submitted on time — Complete source code directory submitted</t>
  </si>
  <si>
    <t>Complete source code directory submitted</t>
  </si>
  <si>
    <t>All deliverables submitted on time — Session1_README.txt submitted</t>
  </si>
  <si>
    <t>Session1_README.txt submitted</t>
  </si>
  <si>
    <t>All deliverables submitted on time — Session1_API_Endpoints.txt submitted</t>
  </si>
  <si>
    <t>Session1_API_Endpoints.txt submitted</t>
  </si>
  <si>
    <t>A2</t>
  </si>
  <si>
    <t>Session 1 - Communication and Interpersonal Skills</t>
  </si>
  <si>
    <t>README clarity</t>
  </si>
  <si>
    <t>Project launched and accessible by following README alone</t>
  </si>
  <si>
    <t>README contains all info needed to launch the project</t>
  </si>
  <si>
    <t>A3</t>
  </si>
  <si>
    <t>Session 1 - Problem Solving, Innovation and Creativity</t>
  </si>
  <si>
    <t>Problem solving — System Stability</t>
  </si>
  <si>
    <t>System runs continuously without crashing.</t>
  </si>
  <si>
    <t>System Stability, No crash.</t>
  </si>
  <si>
    <t>A4</t>
  </si>
  <si>
    <t>Session 1 - Analysis and Design of Software Solutions</t>
  </si>
  <si>
    <t>3completed</t>
  </si>
  <si>
    <t>NUMBER_COMPLETED</t>
  </si>
  <si>
    <t>NUM_POSSIBLE:::3.00000000#x~x#</t>
  </si>
  <si>
    <t>85d209c1528500fb29a3d938bb5e3272</t>
  </si>
  <si>
    <t>Software reusable utilities and common components</t>
  </si>
  <si>
    <t>Count the number of true requirements:
1. Common response wrapper reused across APIs
2. Database connection created once and reused
3. Pagination logic reused across list endpoints</t>
  </si>
  <si>
    <t>Common functionality extracted into reusable components</t>
  </si>
  <si>
    <t>A5</t>
  </si>
  <si>
    <t>Session 1 - Development of Software Solutions</t>
  </si>
  <si>
    <t>Task 1.1.1 - Query restaurant list — Restaurant list query (basic &amp; paging)</t>
  </si>
  <si>
    <t>Count the number of true requirements:
1. No parameters
2. pageNum=1 &amp; pageSize=1
3. pageNum=-1 or pageSize=-1</t>
  </si>
  <si>
    <t>Restaurant list query implemented</t>
  </si>
  <si>
    <t>5completed</t>
  </si>
  <si>
    <t>NUM_POSSIBLE:::5.00000000#x~x#</t>
  </si>
  <si>
    <t>8e5af855a72ab6cb16b064a59cbea7fd</t>
  </si>
  <si>
    <t>Task 1.1.1 - Query restaurant list — Restaurant list query (filtering)</t>
  </si>
  <si>
    <t>Count the number of true requirements:
1. restaurantType=chinese
2. restaurantType=italian (not in database)
3. restaurantName=Quanjude Roast Duck (exact)
4. restaurantName=Duck (partial)
5. restaurantName=&lt;no match&gt;</t>
  </si>
  <si>
    <t>Restaurant list filtering implemented</t>
  </si>
  <si>
    <t>Task 1.1.2 - Query restaurant details</t>
  </si>
  <si>
    <t>Count the number of true requirements:
1. restaurantId=1
2. restaurantId=5
3. restaurantId=999 (non-existent)</t>
  </si>
  <si>
    <t>Restaurant details query implemented</t>
  </si>
  <si>
    <t>Task 1.1.3 - Query attraction list — Attraction list query</t>
  </si>
  <si>
    <t>Count the number of true requirements:
1. No parameters
2. pageNum=2 &amp; pageSize=1
3. spotName=Palace Museum (exact)
4. spotName=Tower (partial)
5. spotName=&lt;no match&gt;</t>
  </si>
  <si>
    <t>Attraction list query implemented</t>
  </si>
  <si>
    <t>Task 1.1.4 - Query attraction details</t>
  </si>
  <si>
    <t>Count the number of true requirements:
1. spotId=1
2. spotId=6
3. spotId=-1 (invalid)</t>
  </si>
  <si>
    <t>Attraction details query implemented</t>
  </si>
  <si>
    <t>6completed</t>
  </si>
  <si>
    <t>NUM_POSSIBLE:::6.00000000#x~x#</t>
  </si>
  <si>
    <t>c7b48462b10746f4b53841d03a710abc</t>
  </si>
  <si>
    <t>Task 1.2.1 - Query public comment list — Public comment list query</t>
  </si>
  <si>
    <t>Count the number of true requirements:
1. No token
2. Valid token, no parameters
3. Valid token, pageNum=2 &amp; pageSize=1
4. businessType=restaurant
5. businessType=scenic
6. businessType=&lt;invalid value&gt;</t>
  </si>
  <si>
    <t>Public comment list query implemented</t>
  </si>
  <si>
    <t>4completed</t>
  </si>
  <si>
    <t>NUM_POSSIBLE:::4.00000000#x~x#</t>
  </si>
  <si>
    <t>25b9696e9b370cd55db6d8569485b45c</t>
  </si>
  <si>
    <t>Task 1.2.2 - Query my personal comment list — Personal comment list query implemented</t>
  </si>
  <si>
    <t>Count the number of true requirements:
1. No token -&gt; 401 Unauthorized
2. User1 login -&gt; 23 reviews (mine)
3. User1 login, businessType=restaurant -&gt; 13 reviews
4. User1 login, businessType=scenic -&gt; 10 reviews</t>
  </si>
  <si>
    <t>Personal comment list query implemented</t>
  </si>
  <si>
    <t>2completed</t>
  </si>
  <si>
    <t>NUM_POSSIBLE:::2.00000000#x~x#</t>
  </si>
  <si>
    <t>854c402550ca874667802b786996b520</t>
  </si>
  <si>
    <t>Task 1.2.3 - Add comment — Add comment functionality implemented</t>
  </si>
  <si>
    <t>Count the number of true requirements:
1. No token
2. User1 login, add review (businessType=restaurant, businessId=1, rating=5, content=Great food and service)</t>
  </si>
  <si>
    <t>Add comment functionality implemented</t>
  </si>
  <si>
    <t>Task 1.2.4 - Delete my comment — Deleting one's own comments implemented</t>
  </si>
  <si>
    <t>Count the number of true requirements:
1. No token
2. User1 login, delete own review (reviewId=2)
3. Delete review of another user (reviewId=3)</t>
  </si>
  <si>
    <t>Deleting one's own comments implemented</t>
  </si>
  <si>
    <t>Task 1.2.5 - Image upload</t>
  </si>
  <si>
    <t>Count the number of true requirements:
1. Upload one valid image file -&gt; upload successful, image URL returned
2. Upload two image files at once -&gt; upload successful, multiple URLs returned</t>
  </si>
  <si>
    <t>Image upload functionality implemented</t>
  </si>
  <si>
    <t>Task 1.3.1 - User login to obtain access token — User login implemented</t>
  </si>
  <si>
    <t>Count the number of true requirements:
1. user1/123456 -&gt; login successful, token returned
2. user2/123456 -&gt; login successful, token returned (different user, different token)
3. user1/&lt;wrong&gt; -&gt; login failed
4. non-existent username -&gt; login failed</t>
  </si>
  <si>
    <t>User login implemented</t>
  </si>
  <si>
    <t>Task 1.3.2 - Get current logged-in user info — Retrieving current logged-in user info implemented</t>
  </si>
  <si>
    <t>Count the number of true requirements:
1. No token
2. User1 login-&gt; user1 info returned
3. User2 login-&gt; user2 info returned</t>
  </si>
  <si>
    <t>Retrieving current logged-in user info implemented</t>
  </si>
  <si>
    <t>Task 1.3.3 - User logout — User logout implemented</t>
  </si>
  <si>
    <t>Count the number of true requirements:
1. User1 login, logout -&gt; logout successful
2. After logout, get user info -&gt; 401 Unauthorized</t>
  </si>
  <si>
    <t>User logout implemented</t>
  </si>
  <si>
    <t>Task 1.3.4 - Validate current token</t>
  </si>
  <si>
    <t>Count the number of true requirements:
1. No token -&gt; 401 Unauthorized
2. User1 login -&gt; valid/logged-in status returned</t>
  </si>
  <si>
    <t>Current token validation implemented</t>
  </si>
  <si>
    <t>Task 1.4 - Query congested road list</t>
  </si>
  <si>
    <t>Count the number of true requirements (rect = [[startLat,startLng],[endLat,endLng]]):
1. [[38.70,-75.60],[39.90,-75.00]] (whole region)
2. [[39.14,-75.46],[39.18,-75.43]] (Dover area)
3. [[38.50,-75.30],[38.55,-75.25]] (no segments)</t>
  </si>
  <si>
    <t>Congested road list query implemented</t>
  </si>
  <si>
    <t>Task 1.5 - Route planning — Route planning functionality implemented</t>
  </si>
  <si>
    <t>Count the number of true requirements:
1. pathWay=[[-75.44354248046875, 39.155181884765625], [-75.46984100341797, 39.16850280761719]] &amp; mode=cycling
2. Same pathWay with mode=walking</t>
  </si>
  <si>
    <t>Route planning functionality implemented</t>
  </si>
  <si>
    <t>Criterion B</t>
  </si>
  <si>
    <t>B1</t>
  </si>
  <si>
    <t>Session 2 - Work Organization and Time Management</t>
  </si>
  <si>
    <t>All deliverables submitted on time — Source code submitted in Competitor-Module2 folder</t>
  </si>
  <si>
    <t>All deliverables submitted on time — Session2_README.txt submitted</t>
  </si>
  <si>
    <t>Session2_README.txt submitted</t>
  </si>
  <si>
    <t>B2</t>
  </si>
  <si>
    <t>Session 2 - Communication and Interpersonal Skills</t>
  </si>
  <si>
    <t>B3</t>
  </si>
  <si>
    <t>Session 2 - Problem Solving, Innovation and Creativity</t>
  </si>
  <si>
    <t>B4</t>
  </si>
  <si>
    <t>Session 2 - Analysis and Design of Software Solutions</t>
  </si>
  <si>
    <t>UI design — UI style consistency across screens</t>
  </si>
  <si>
    <t>Count the number of true requirements:
1. Button style consistent
2. List item layout consistent
3. Text input style consistent
4. Error feedback style consistent
5. Loading and empty state consistent
6. Detail page header consistent</t>
  </si>
  <si>
    <t>Button, list, input, error, loading and header styles consistent across screens</t>
  </si>
  <si>
    <t>B5</t>
  </si>
  <si>
    <t>Session 2 - Development of Software Solutions</t>
  </si>
  <si>
    <t>Task 2.1 - Nearby Services - Nearby services list page implemented</t>
  </si>
  <si>
    <t xml:space="preserve">Count the number of true requirements:
1. Recommendation list displayed
2. Venue name shown
3. Distance shown
4. Cover image shown
5. Rating score shown
6. Data retrieved from database(16 records),no hardcoding </t>
  </si>
  <si>
    <t>Nearby services list displayed with complete entry info</t>
  </si>
  <si>
    <t>Task 2.1 - Nearby Services - Category filtering implemented</t>
  </si>
  <si>
    <t>Count the number of true requirements:
1. Restaurants filter -&gt; only restaurant entries
2. Attractions filter -&gt; only attraction entries</t>
  </si>
  <si>
    <t>List filtered by Restaurants / Attractions</t>
  </si>
  <si>
    <t>Task 2.1 - Nearby Services - Detail page navigation implemented</t>
  </si>
  <si>
    <t>Count the number of true requirements:
1. Restaurant entry -&gt; restaurant detail page
2. Attraction entry -&gt; attraction detail page</t>
  </si>
  <si>
    <t>List entry opens detail page</t>
  </si>
  <si>
    <t>Task 2.1 - Nearby Services - Not-logged-in state on the detail page</t>
  </si>
  <si>
    <t>Count the number of true requirements:
1. Not logged in -&gt; Login button shown at bottom
2. Not logged in -&gt; user reviews hidden</t>
  </si>
  <si>
    <t>Not logged in: Login button shown, reviews hidden</t>
  </si>
  <si>
    <t>Task 2.1 - Nearby Services - Login and authentication implemented</t>
  </si>
  <si>
    <t>Count the number of true requirements:
1. Login button -&gt; login page with username and password input
2. user1/123456 -&gt; sign-in successful
3. Wrong username or password -&gt; pop-up "Invalid username or password, please try again."</t>
  </si>
  <si>
    <t>Default account sign-in works; invalid credentials show pop-up</t>
  </si>
  <si>
    <t>8completed</t>
  </si>
  <si>
    <t>NUM_POSSIBLE:::8.00000000#x~x#</t>
  </si>
  <si>
    <t>1ded4601a59dad0993affc908b531538</t>
  </si>
  <si>
    <t>Task 2.1 - Nearby Services - Restaurant detail page content implemented</t>
  </si>
  <si>
    <t>Count the number of true requirements:
1. Image displayed
2. Name displayed
3. Average cost displayed
4. Business hours displayed
5. Remaining parking space displayed
6. Rating displayed
7. Distance displayed
8. Reviews displayed (after login)</t>
  </si>
  <si>
    <t>All restaurant detail fields displayed</t>
  </si>
  <si>
    <t>7completed</t>
  </si>
  <si>
    <t>NUM_POSSIBLE:::7.00000000#x~x#</t>
  </si>
  <si>
    <t>ba6dbad7c1a85afe62709a4290aee612</t>
  </si>
  <si>
    <t>Task 2.1 - Nearby Services - Attraction detail page content implemented</t>
  </si>
  <si>
    <t>Count the number of true requirements:
1. Attraction image displayed
2. Rating displayed
3. Distance displayed
4. Opening hours displayed
5. Ticket price displayed
6. Recommended visiting period displayed
7. Reviews displayed (after login)</t>
  </si>
  <si>
    <t>All attraction detail fields displayed</t>
  </si>
  <si>
    <t>Task 2.1 - Nearby Services - Review item composition implemented</t>
  </si>
  <si>
    <t>Count the number of true requirements:
1. User avatar displayed
2. Username displayed
3. Posting time displayed
4. Comment text displayed
5. Star rating displayed
6. Review photo thumbnail displayed
7. Like count displayed</t>
  </si>
  <si>
    <t>All review elements displayed</t>
  </si>
  <si>
    <t>Task 2.2 - Review Management - Review list page navigation implemented</t>
  </si>
  <si>
    <t>Count the number of true requirements:
1. View More button displayed
2. View More tapped -&gt; review list page opened</t>
  </si>
  <si>
    <t>View More opens review list page</t>
  </si>
  <si>
    <t>Task 2.2 - Review Management - Review list item display implemented</t>
  </si>
  <si>
    <t>Count the number of true requirements:
1. User avatar displayed
2. Username displayed
3. Comment date displayed
4. Comment content displayed
5. Star rating displayed
6. Review image thumbnail displayed</t>
  </si>
  <si>
    <t>All list item elements displayed</t>
  </si>
  <si>
    <t>Task 2.2 - Review Management - Filtering and ordering implemented</t>
  </si>
  <si>
    <t>Count the number of true requirements:
1. Stars filter with 1/2/3/4/5 options provided
2. Star selected -&gt; list filtered correctly
3. Latest sort option provided
4. Publish time Ascending works
5. Publish time Descending works</t>
  </si>
  <si>
    <t>Stars filter; Latest sort with Ascending/Descending</t>
  </si>
  <si>
    <t>Task 2.2 - Review Management - Comment input area implemented</t>
  </si>
  <si>
    <t>Count the number of true requirements:
1. Star rating selection enabled
2. 5-15 characters accepted (shorter/longer rejected)
3. Remaining character count shown in real time</t>
  </si>
  <si>
    <t>Star selection; 5-15 character limit; real-time count</t>
  </si>
  <si>
    <t>Task 2.2 - Review Management - Review photo upload implemented</t>
  </si>
  <si>
    <t>Count the number of true requirements:
1. 1-3 photos attachable
2. 4th photo rejected</t>
  </si>
  <si>
    <t>1-3 photos uploaded; 4th rejected</t>
  </si>
  <si>
    <t>Task 2.2 - Review Management - Submit review implemented</t>
  </si>
  <si>
    <t>Count the number of true requirements:
1. Submit button -&gt; review submitted successfully
2. Data inserted into database.</t>
  </si>
  <si>
    <t>Review list refreshed instantly on submission</t>
  </si>
  <si>
    <t>Task 2.3 - User Profile - Logged-in profile page implemented</t>
  </si>
  <si>
    <t>Count the number of true requirements:
1. Profile tab -&gt; profile page entered
2. Logged in -&gt; avatar displayed
3. username displayed
4. email displayed
5. My Reviews entrance displayed
6. Log Out button displayed and signs out</t>
  </si>
  <si>
    <t>Avatar, username, email, My Reviews entrance and Log Out displayed</t>
  </si>
  <si>
    <t>Task 2.3 - User Profile - Not-logged-in profile state implemented</t>
  </si>
  <si>
    <t>Count the number of true requirements:
1. Not logged in -&gt; "Not Logged In" text shown
2. Not logged in -&gt; bottom button changed to Login</t>
  </si>
  <si>
    <t>Not logged in: "Not Logged In" text and Login button</t>
  </si>
  <si>
    <t>Task 2.3.1 - Personal Review Management - Personal review list implemented</t>
  </si>
  <si>
    <t>Count the number of true requirements:
1. My Review button -&gt; page opened
2. Full list of logged-in user's reviews displayed
3. Review content included
4. Review images included
5. Post time included</t>
  </si>
  <si>
    <t>Logged-in user's reviews listed with required elements</t>
  </si>
  <si>
    <t>Task 2.3.1 - Personal Review Management - Post time sorting implemented</t>
  </si>
  <si>
    <t>Count the number of true requirements:
1. Post time sorting available via drop-down
2. Ascending works correctly
3. Descending works correctly</t>
  </si>
  <si>
    <t>Post time sorting via drop-down (Ascending/Descending)</t>
  </si>
  <si>
    <t>Task 2.3.1 - Personal Review Management - Deleting own reviews implemented</t>
  </si>
  <si>
    <t>Count the number of true requirements:
1. Delete button -&gt; review deleted successfully
2. Data deleted from database.</t>
  </si>
  <si>
    <t>Deleted entry removed from personal list</t>
  </si>
  <si>
    <t>Task 2.4.1 - Map Display with Zoom Functionality</t>
  </si>
  <si>
    <t>Count the number of true requirements:
1. Map image displayed normally
2. Zoom In (+) button works
3. Zoom Out (-) button works</t>
  </si>
  <si>
    <t>Map image displayed; Zoom In/Out buttons work</t>
  </si>
  <si>
    <t>Task 2.4.2 - Route Planning</t>
  </si>
  <si>
    <t>Count the number of true requirements:
1. Route connects Home, Gas Station, Restaurant and Company in sequence
2. Home -&gt; Gas Station segment in red
3. Gas Station -&gt; Restaurant segment in yellow
4. Restaurant -&gt; Company segment in green</t>
  </si>
  <si>
    <t>Route connects 4 points; segments in red, yellow and green</t>
  </si>
  <si>
    <t>Criterion C</t>
  </si>
  <si>
    <t>C1</t>
  </si>
  <si>
    <t>Submission &amp; build</t>
  </si>
  <si>
    <t>2</t>
  </si>
  <si>
    <t>Submission via Git — competitor repository reachable, main branch present</t>
  </si>
  <si>
    <t>Competitor pushes to their Gitea repo; the judgement image clones main (depth 1) and starts.</t>
  </si>
  <si>
    <t>Push triggers the webhook; a judgement run is created and recorded</t>
  </si>
  <si>
    <t>C2</t>
  </si>
  <si>
    <t>Map Screen</t>
  </si>
  <si>
    <t>City map with marker layers. Coordinates are relative to map pixels</t>
  </si>
  <si>
    <t>Incident markers are colour-coded correctly by type (fire = red, crime = blue, medical = orange)</t>
  </si>
  <si>
    <t>test to count the number of correct color codes (0-3)</t>
  </si>
  <si>
    <t>Unacknowledged incidents blink between their type colour and white</t>
  </si>
  <si>
    <t>count each feature that exists and functions correctly: A) color &amp; type match B) blinks (0-2)</t>
  </si>
  <si>
    <t>Non-blinking statuses render as flat type colour at reduced opacity with a distinguishing status badge</t>
  </si>
  <si>
    <t>count each feature that exists and functions correctly: A) colour, opacity,  B) status badge (0-2)</t>
  </si>
  <si>
    <t>Resolved incidents are hidden by default and can be revealed via filters</t>
  </si>
  <si>
    <t>count each feature that exists and functions correctly: A) resolved is hidden B) can be revealed (0-2)</t>
  </si>
  <si>
    <t>Station markers show station type and count of currently available units</t>
  </si>
  <si>
    <t>count each feature that is correct in station marker: A) station type, B) count of available units (0-2)</t>
  </si>
  <si>
    <t>Clicking an incident marker opens the incident detail window</t>
  </si>
  <si>
    <t>Map coordinates are correctly scaled/positioned relative to the source image</t>
  </si>
  <si>
    <t>C3</t>
  </si>
  <si>
    <t>Incident grid</t>
  </si>
  <si>
    <t>Grid shows all required columns (id, type, subtype, severity, status, reported time, assigned units, description)</t>
  </si>
  <si>
    <t>count Number of correct columns (0-8)</t>
  </si>
  <si>
    <t>Type cell is colour-coded by incident type in the grid</t>
  </si>
  <si>
    <t>Status column is colour-coded separately from the type cell</t>
  </si>
  <si>
    <t>Live search is debounced and supports property filters (--id=, --type=, --status=, --description=)</t>
  </si>
  <si>
    <t>Clicking a grid row opens the incident detail window</t>
  </si>
  <si>
    <t>C4</t>
  </si>
  <si>
    <t>Filters</t>
  </si>
  <si>
    <t>Filters exist for incident type, severity and status</t>
  </si>
  <si>
    <t>count number of filters  that exists and functions correctly: A) type B) severity C) status (0-3)</t>
  </si>
  <si>
    <t>Toggles exist to show/hide the incident layer and the station layer independently</t>
  </si>
  <si>
    <t>count each feature that exists and functions correctly: A) show/hide layer B) station layer (0-2)</t>
  </si>
  <si>
    <t>Filters apply immediately with no extra confirmation step</t>
  </si>
  <si>
    <t>C5</t>
  </si>
  <si>
    <t>Incident Detail Window</t>
  </si>
  <si>
    <t>Unacknowledged incidents show only a single enabled Acknowledge button; all other controls disabled</t>
  </si>
  <si>
    <t>Acknowledging an incident successfully unlocks unit assignment</t>
  </si>
  <si>
    <t>All existing units are listed with their station; units that are unavailable are shown but not selectable</t>
  </si>
  <si>
    <t>count each feature that exists and functions correctly: A) all listed B) unavailable units (0-2)</t>
  </si>
  <si>
    <t>Operator can select multiple units across different stations</t>
  </si>
  <si>
    <t>"Apply recommendation" pre-selects a sensible unit composition for the incident subtype</t>
  </si>
  <si>
    <t>Save sends the assignment to the server with client-side validation on inputs</t>
  </si>
  <si>
    <t>Server-rejected (HTTP 400) assignments surface the server's returned message to the operator, unaltered</t>
  </si>
  <si>
    <t>Assigned/en route/on scene incidents show live progression of incident and unit state as reported by the server</t>
  </si>
  <si>
    <t>count each feature that exists and functions correctly: A) live progression of incident and B) unit state (0-2)</t>
  </si>
  <si>
    <t>A Resolve action is available while an incident is in progress</t>
  </si>
  <si>
    <t>Resolved incidents are shown read-only, listing the units that attended</t>
  </si>
  <si>
    <t>C6</t>
  </si>
  <si>
    <t>Calls</t>
  </si>
  <si>
    <t>Call queue lists incoming, active and recent calls (ended, declined, missed)</t>
  </si>
  <si>
    <t>count each feature that exists and functions correctly: A) ended, B) declined, C) missed calls (0-3)</t>
  </si>
  <si>
    <t>A badge counting ringing calls stays visible from any tab</t>
  </si>
  <si>
    <t>Selecting a call opens a call screen showing caller name, number, reported type, description, location on a mini-map, and a live timer</t>
  </si>
  <si>
    <t>count each feature that exists and functions correctly: A) screen opens and shows B) name C) number D) type E)  description F) location G livetimer (0-7)</t>
  </si>
  <si>
    <t>A ringing call can be accepted or declined; an active call can be ended or linked to an incident</t>
  </si>
  <si>
    <t>Accepting a call automatically creates a new unacknowledged incident from the report (type from call, sensible default when unknown), linked to the call, appearing on the map and in the grid</t>
  </si>
  <si>
    <t>Only one call may be active at a time — other ringing calls cannot be accepted while one is active, though they can still be declined</t>
  </si>
  <si>
    <t>Criterion D</t>
  </si>
  <si>
    <t>D1</t>
  </si>
  <si>
    <t>D1.1 · Submission via Git — competitor repository reachable, main branch present</t>
  </si>
  <si>
    <t>D1.2 · Solution builds: competitor GreenWave.Control.Services compiles against the GreenWave.Control.Contracts NuGet package</t>
  </si>
  <si>
    <t>Judge swaps the competitor's GreenWave.Control.Services folder into the solution; offline restore (local-nuget) + build succeed.</t>
  </si>
  <si>
    <t>events.jsonl contains no marker-error; dotnet test starts</t>
  </si>
  <si>
    <t>D2</t>
  </si>
  <si>
    <t>Validator (D2 sentinels &amp; happy path · D3 issue rules (one rule, one input, one test) · D4 evaluation order &amp; de-duplication)</t>
  </si>
  <si>
    <t>D2 Validator — sentinels &amp; happy path: enter the number of satisfied checks, 0–4, as the score. Checks: D2.1–D2.4.</t>
  </si>
  <si>
    <t>Input of each check: sheet 'Compacted aspect checks', rows for D2.1–D2.4.</t>
  </si>
  <si>
    <t>Score = satisfied checks (0–4); A check counts only when its test passes in full. Expected result of each check: sheet 'Compacted aspect checks', rows for D2.1–D2.4.</t>
  </si>
  <si>
    <t>D2.5 · Fully valid program passes every check — including the legal boundaries MinGreen == MaxGreen and MinCycle == MaxCycle (the brief invalidates only &gt;), null Conflicts and a null MovementIds treated as empty</t>
  </si>
  <si>
    <t>2 movements; one phase MinGreen = MaxGreen = 20; MinCycle = MaxCycle = 60; pedestrian phase with PedestrianWalk set and MovementIds = null; Conflicts = null.</t>
  </si>
  <si>
    <t>IsValid = true; Issues empty. A MinGreen &gt;= MaxGreen (or MinCycle &gt;= MaxCycle) implementation wrongly rejects this program and loses the mark</t>
  </si>
  <si>
    <t>9completed</t>
  </si>
  <si>
    <t>NUM_POSSIBLE:::9.00000000#x~x#</t>
  </si>
  <si>
    <t>63e5794f2af47d34abe4c6c74a9db99a</t>
  </si>
  <si>
    <t>D3 Validator — issue rules (one rule, one input, one test): enter the number of satisfied checks, 0–9, as the score. Checks: D3.1, D3.2, D3.4–D3.10.</t>
  </si>
  <si>
    <t>Input of each check: sheet 'Compacted aspect checks', rows for D3.1, D3.2, D3.4–D3.10.</t>
  </si>
  <si>
    <t>Score = satisfied checks (0–9); A check counts only when its test passes in full. Expected result of each check: sheet 'Compacted aspect checks', rows for D3.1, D3.2, D3.4–D3.10.</t>
  </si>
  <si>
    <t>D3 Validator — issue rules (one rule, one input, one test): enter the number of satisfied checks, 0–3, as the score. Checks: D3.3, D3.11, D3.12.</t>
  </si>
  <si>
    <t>Input of each check: sheet 'Compacted aspect checks', rows for D3.3, D3.11, D3.12.</t>
  </si>
  <si>
    <t>Score = satisfied checks (0–3); A check counts only when its test passes in full. Expected result of each check: sheet 'Compacted aspect checks', rows for D3.3, D3.11, D3.12.</t>
  </si>
  <si>
    <t>D4.1 · Spec example: unknown movement M9 + green bounds 10 &gt; 5 yield the two codes in documented order</t>
  </si>
  <si>
    <t>One phase references undefined "M9"; phase P1 has MinGreen 10, MaxGreen 5 (the example from the brief).</t>
  </si>
  <si>
    <t>Issues == ["unknown-movement", "invalid-green-bounds"] — exact sequence (from the brief's worked example)</t>
  </si>
  <si>
    <t>D4.2 · A rule violated by two phases appends its code only once</t>
  </si>
  <si>
    <t>Two phases, each with MinGreen = 0.</t>
  </si>
  <si>
    <t>Issues == ["invalid-green-bounds"] — single occurrence</t>
  </si>
  <si>
    <t>D4.3 · All five co-occurring rules violated at once return the full list in evaluation order</t>
  </si>
  <si>
    <t>One program combining: reference to undefined movement; conflict pair in one phase; MinGreen &gt; MaxGreen; MinCycle &gt; MaxCycle; pedestrian phase without walk time.</t>
  </si>
  <si>
    <t>Issues == ["unknown-movement", "conflicting-movements", "invalid-green-bounds", "invalid-cycle-bounds", "missing-pedestrian-walk"] — exact sequence. empty-program excluded: the four phase rules need phases; its terminality is graded in D2.2</t>
  </si>
  <si>
    <t>D3</t>
  </si>
  <si>
    <t>Demand (D5 arrival aggregation (qₘ) · D6 movement ratio (qₘ / sₘ) · D7 phase critical ratio &amp; output shape · D8 sentinels (never throw))</t>
  </si>
  <si>
    <t>D5.1 · Arrival flow is the mean of the movement's readings across reporting frames</t>
  </si>
  <si>
    <t>3 frames each report M1: 600, 540, 480 vph; saturation 1800; single-movement phase P1.</t>
  </si>
  <si>
    <t>q(M1) = (600+540+480)/3 = 540.0000; CriticalRatio == 0.3000</t>
  </si>
  <si>
    <t>D5.2 · k counts only the frames that report the movement (absence is not a zero reading)</t>
  </si>
  <si>
    <t>3 frames; M1 appears in 2 of them (500, 700), absent from the third; saturation 1900.</t>
  </si>
  <si>
    <t>q(M1) = (500+700)/2 = 600.0000, not 400; CriticalRatio == 0.3158 (600/1900)</t>
  </si>
  <si>
    <t>D5.3 · A movement absent from every frame has arrival flow 0</t>
  </si>
  <si>
    <t>Frames report only M2; phase P1 contains only M1.</t>
  </si>
  <si>
    <t>CriticalRatio == 0.0 for the phase containing only that movement</t>
  </si>
  <si>
    <t>D5.4 · Repeating-decimal mean handled; the observable ratio is correct to 4 dp (the intermediate mean's own rounding is not observable through PhaseDemand — Calibration-Record §5c)</t>
  </si>
  <si>
    <t>3 frames report M1: 1000, 1001, 1001; saturation 2000.</t>
  </si>
  <si>
    <t>CriticalRatio == 0.5003 (3002/3 ÷ 2000; rounded or unrounded intermediate both give 0.5003)</t>
  </si>
  <si>
    <t>D6.1 · Movement ratio is arrival flow divided by saturation flow, to 4 dp</t>
  </si>
  <si>
    <t>Single frame, M1 = 540 vph, saturation 1800.</t>
  </si>
  <si>
    <t>540 / 1800 = 0.3000</t>
  </si>
  <si>
    <t>D6.2 · Non-terminating ratio is rounded to 4 dp (0.15789… is not a midpoint, so the rounding direction is not graded — §5c)</t>
  </si>
  <si>
    <t>Single frame, M1 = 300 vph, saturation 1900.</t>
  </si>
  <si>
    <t>300 / 1900 = 0.15789… -&gt; 0.1579</t>
  </si>
  <si>
    <t>D6 Demand — movement ratio (qₘ / sₘ): enter the number of satisfied checks, 0–2, as the score. Checks: D6.3, D6.4.</t>
  </si>
  <si>
    <t>Input of each check: sheet 'Compacted aspect checks', rows for D6.3, D6.4.</t>
  </si>
  <si>
    <t>Score = satisfied checks (0–2); A check counts only when its test passes in full. Expected result of each check: sheet 'Compacted aspect checks', rows for D6.3, D6.4.</t>
  </si>
  <si>
    <t>D7 Demand — phase critical ratio &amp; output shape: enter the number of satisfied checks, 0–3, as the score. Checks: D7.1, D7.3, D7.4.</t>
  </si>
  <si>
    <t>Input of each check: sheet 'Compacted aspect checks', rows for D7.1, D7.3, D7.4.</t>
  </si>
  <si>
    <t>Score = satisfied checks (0–3); A check counts only when its test passes in full. Expected result of each check: sheet 'Compacted aspect checks', rows for D7.1, D7.3, D7.4.</t>
  </si>
  <si>
    <t>D7.2 · A phase whose MovementIds is null is treated as empty: critical ratio 0 (convention 5 — null collection == empty; covers the plain-empty case a fortiori)</t>
  </si>
  <si>
    <t>P2.MovementIds = null.</t>
  </si>
  <si>
    <t>CriticalRatio == 0.0 for that phase; other phases unaffected; no exception</t>
  </si>
  <si>
    <t>D8 Demand — sentinels (never throw): enter the number of satisfied checks, 0–4, as the score. Checks: D8.1–D8.4.</t>
  </si>
  <si>
    <t>Input of each check: sheet 'Compacted aspect checks', rows for D8.1–D8.4.</t>
  </si>
  <si>
    <t>Score = satisfied checks (0–4); A check counts only when its test passes in full. Expected result of each check: sheet 'Compacted aspect checks', rows for D8.1–D8.4.</t>
  </si>
  <si>
    <t>D4</t>
  </si>
  <si>
    <t>Optimizer (D9 cycle length (C₀, clamping, saturation) · D10 proportional split &amp; total-conserving rounding · D11 green bounds &amp; realized cycle · D12 output shape &amp; sentinels (never throw))</t>
  </si>
  <si>
    <t>D9.1 · Worked example from the brief: C₀ = (1.5·12+5)/(1−0.75) = 92</t>
  </si>
  <si>
    <t>n=3, LostTimePerPhase=4, y=[0.30, 0.25, 0.20], MinCycle 40, MaxCycle 120, green bounds [1, 60].</t>
  </si>
  <si>
    <t>CycleLength == 92</t>
  </si>
  <si>
    <t>D9.2 · Midpoint C₀ rounds away from zero: 12.5 -&gt; 13 (Y=0 with odd L — the only shape whose C₀ is an exact half-integer in double; Calibration-Record §5)</t>
  </si>
  <si>
    <t>n=5, LostTimePerPhase=1 (L=5, C₀=1.5L+5=12.5 exactly; 1−Y==1 exact in double), demand all zero (Y=0); MinCycle 10, MaxCycle 120, MinGreen 1. Zero-demand overlap with D10.4 is accepted by design.</t>
  </si>
  <si>
    <t>CycleLength == 13; greens [2, 2, 2, 1, 1] — banker's rounding would give C=12, G=7, greens [2, 2, 1, 1, 1]</t>
  </si>
  <si>
    <t>D9 Optimizer — cycle length (C₀, clamping, saturation): enter the number of satisfied checks, 0–2, as the score. Checks: D9.3, D9.4.</t>
  </si>
  <si>
    <t>Input of each check: sheet 'Compacted aspect checks', rows for D9.3, D9.4.</t>
  </si>
  <si>
    <t>Score = satisfied checks (0–2); mark = score × 0.20, max 0.40. A check counts only when its test passes in full. Expected result of each check: sheet 'Compacted aspect checks', rows for D9.3, D9.4.</t>
  </si>
  <si>
    <t>D9 Optimizer — cycle length (C₀, clamping, saturation): enter the number of satisfied checks, 0–3, as the score. Checks: D9.5–D9.7.</t>
  </si>
  <si>
    <t>Input of each check: sheet 'Compacted aspect checks', rows for D9.5–D9.7.</t>
  </si>
  <si>
    <t>Score = satisfied checks (0–3); A check counts only when its test passes in full. Expected result of each check: sheet 'Compacted aspect checks', rows for D9.5–D9.7.</t>
  </si>
  <si>
    <t>D10.1 · Worked example from the brief: greens [32, 27, 21]</t>
  </si>
  <si>
    <t>Same input as D9.1.</t>
  </si>
  <si>
    <t>Greens == [32, 27, 21]; CycleLength == 92 (floors 79, R=1 -&gt; phase 2, remainder .667)</t>
  </si>
  <si>
    <t>D10.2 · Multiple leftover seconds go to the largest fractional remainders</t>
  </si>
  <si>
    <t>n=3, LostTimePerPhase=4, y=[0.35, 0.20, 0.15] -&gt; C₀=76.67-&gt;77; MinCycle 40, MaxCycle 120.</t>
  </si>
  <si>
    <t>Greens == [32, 19, 14]; CycleLength == 77 (G=65, raw [32.5, 18.5714, 13.9286], R=2 -&gt; phases 3 and 2)</t>
  </si>
  <si>
    <t>D10 Optimizer — proportional split &amp; total-conserving rounding: enter the number of satisfied checks, 0–2, as the score. Checks: D10.3, D10.4.</t>
  </si>
  <si>
    <t>Input of each check: sheet 'Compacted aspect checks', rows for D10.3, D10.4.</t>
  </si>
  <si>
    <t>Score = satisfied checks (0–2); A check counts only when its test passes in full. Expected result of each check: sheet 'Compacted aspect checks', rows for D10.3, D10.4.</t>
  </si>
  <si>
    <t>D10.5 · Y = 0 with G not divisible by n: remainder second to the lowest index</t>
  </si>
  <si>
    <t>n=3, LostTimePerPhase=2, y=[0, 0, 0]; MinCycle 40, MaxCycle 120.</t>
  </si>
  <si>
    <t>Greens == [12, 11, 11]; CycleLength == 40 (G=34, raw 11.33 each, R=1, three-way tie -&gt; phase 1)</t>
  </si>
  <si>
    <t>D10.6 · Rounding conserves the total: Σ greens == G when bounds do not bind</t>
  </si>
  <si>
    <t>n=4, LostTimePerPhase=3, y=[0.20, 0.20, 0.20, 0.15] -&gt; C=92, G=80; MinCycle 40, MaxCycle 120.</t>
  </si>
  <si>
    <t>Greens == [22, 21, 21, 16] (Σ=80=G); CycleLength == 92 == L + Σg</t>
  </si>
  <si>
    <t>D11 Optimizer — green bounds &amp; realized cycle: enter the number of satisfied checks, 0–2, as the score. Checks: D11.1, D11.2.</t>
  </si>
  <si>
    <t>Input of each check: sheet 'Compacted aspect checks', rows for D11.1, D11.2.</t>
  </si>
  <si>
    <t>Score = satisfied checks (0–2); A check counts only when its test passes in full. Expected result of each check: sheet 'Compacted aspect checks', rows for D11.1, D11.2.</t>
  </si>
  <si>
    <t>D11.3 · A zero-demand phase still receives its MinGreen</t>
  </si>
  <si>
    <t>n=3, LostTimePerPhase=4, y=[0.40, 0.20, 0]; MinCycle 40, MaxCycle 120; P3 MinGreen 5.</t>
  </si>
  <si>
    <t>Greens == [31, 15, 5]; CycleLength == 63: C=58, G=46, pre-clamp [31, 15, 0], P3 raised to 5</t>
  </si>
  <si>
    <t>D12.1 · Greens returned in program declaration order with matching PhaseIds — demand matched by PhaseId (keyed), not by position</t>
  </si>
  <si>
    <t>n=3, LostTimePerPhase=4; phases declared P3, P1, P2; demand listed P1=0.375, P2=0.1875, P3=0.1875 (Y=0.75 exact, R=0 so no remainder is distributed); MinCycle 40, MaxCycle 120.</t>
  </si>
  <si>
    <t>CycleLength == 92; PhaseIds == [P3, P1, P2] in declaration order; greens [20, 40, 20]. Sorting by PhaseId gives [P1,P2,P3]/[40,20,20]; matching demand positionally gives [P3,P1,P2]/[40,20,20].</t>
  </si>
  <si>
    <t>D12 Optimizer — output shape &amp; sentinels (never throw): enter the number of satisfied checks, 0–4, as the score. Checks: D12.2–D12.5.</t>
  </si>
  <si>
    <t>Input of each check: sheet 'Compacted aspect checks', rows for D12.2–D12.5.</t>
  </si>
  <si>
    <t>Score = satisfied checks (0–4); A check counts only when its test passes in full. Expected result of each check: sheet 'Compacted aspect checks', rows for D12.2–D12.5.</t>
  </si>
  <si>
    <t>Criterion E</t>
  </si>
  <si>
    <t>E1</t>
  </si>
  <si>
    <t>Data model — schema.sql (E1 Entities &amp; relationships · E2 Integrity &amp; constraints · E3 Types &amp; precision)</t>
  </si>
  <si>
    <t>3</t>
  </si>
  <si>
    <t>E1.1 · Trip records start and end zone as two separate columns both foreign keys to zones</t>
  </si>
  <si>
    <t>Submitted schema.sql — trips table. Draft defect: one zone_id records only one zone (register A1.1 / DR-03)</t>
  </si>
  <si>
    <t>trips has a start-zone and an end-zone column (end nullable while the trip is open) each declared REFERENCES zones; the draft's single zone_id is gone</t>
  </si>
  <si>
    <t>E1 Entities &amp; relationships: enter the number of satisfied checks, 0–6, as the score. Checks: E1.2–E1.7.</t>
  </si>
  <si>
    <t>Input of each check: sheet 'Compacted aspect checks', rows for E1.2–E1.7.</t>
  </si>
  <si>
    <t>Score = satisfied checks (0–6). A check counts only when its test passes in full. Expected result of each check: sheet 'Compacted aspect checks', rows for E1.2–E1.7.</t>
  </si>
  <si>
    <t>E2 Integrity &amp; constraints: enter the number of satisfied checks, 0–3, as the score. Checks: E2.1, E2.2, E2.4.</t>
  </si>
  <si>
    <t>Input of each check: sheet 'Compacted aspect checks', rows for E2.1, E2.2, E2.4.</t>
  </si>
  <si>
    <t>Score = satisfied checks (0–3); A check counts only when its test passes in full. Expected result of each check: sheet 'Compacted aspect checks', rows for E2.1, E2.2, E2.4.</t>
  </si>
  <si>
    <t>E2.3 · Member email is unique</t>
  </si>
  <si>
    <t>Submitted schema.sql — members. Draft defect: no uniqueness on email (register A2.3)</t>
  </si>
  <si>
    <t>a UNIQUE constraint or unique index exists on members.email</t>
  </si>
  <si>
    <t>E2.5 · Vehicle type constrained; battery level valid and bike-compatible</t>
  </si>
  <si>
    <t>Submitted schema.sql — vehicles. Draft defect: type free text; battery_level INTEGER NOT NULL unbounded (register A2.5)</t>
  </si>
  <si>
    <t>vehicle type limited to bike/e-scooter; battery level nullable (pedal bikes have none) with a 0-100 range CHECK</t>
  </si>
  <si>
    <t>E2.6 · The schema itself prevents two concurrent open trips on one vehicle</t>
  </si>
  <si>
    <t>Submitted schema.sql. Draft defect: nothing stops a second open trip on the same vehicle (register A2.6 / DR-04)</t>
  </si>
  <si>
    <t>a uniqueness mechanism limited to open trips exists — partial/filtered unique index on trips(vehicle_id) WHERE end is NULL or an open-trips table with UNIQUE(vehicle_id)</t>
  </si>
  <si>
    <t>E3 Types &amp; precision: enter the number of satisfied checks, 0–3, as the score. Checks: E3.1–E3.3.</t>
  </si>
  <si>
    <t>Input of each check: sheet 'Compacted aspect checks', rows for E3.1–E3.3.</t>
  </si>
  <si>
    <t>Score = satisfied checks (0–3). A check counts only when its test passes in full. Expected result of each check: sheet 'Compacted aspect checks', rows for E3.1–E3.3.</t>
  </si>
  <si>
    <t>E2</t>
  </si>
  <si>
    <t>Data dictionary (E4 Meaning &amp; units · E5 Governance)</t>
  </si>
  <si>
    <t>E4 Meaning &amp; units: enter the number of satisfied checks, 0–2, as the score. Checks: E4.1, E4.2.</t>
  </si>
  <si>
    <t>Input of each check: sheet 'Compacted aspect checks', rows for E4.1, E4.2.</t>
  </si>
  <si>
    <t>Score = satisfied checks (0–2); A check counts only when its test passes in full. Expected result of each check: sheet 'Compacted aspect checks', rows for E4.1, E4.2.</t>
  </si>
  <si>
    <t>E5 Governance: enter the number of satisfied checks, 0–2, as the score. Checks: E5.1, E5.2.</t>
  </si>
  <si>
    <t>Input of each check: sheet 'Compacted aspect checks', rows for E5.1, E5.2.</t>
  </si>
  <si>
    <t>Score = satisfied checks (0–2); A check counts only when its test passes in full. Expected result of each check: sheet 'Compacted aspect checks', rows for E5.1, E5.2.</t>
  </si>
  <si>
    <t>E5.3 · The dictionary covers the entities the corrected schema added</t>
  </si>
  <si>
    <t>Submitted DataDictionary.md vs submitted schema.sql. Draft defect: dictionary lacks the missing entities (register B2.3)</t>
  </si>
  <si>
    <t>rows exist for maintenance tickets and incident reports and every other table present in the submitted schema.sql</t>
  </si>
  <si>
    <t>E3</t>
  </si>
  <si>
    <t>Architecture diagrams (E6 Context diagram · E7 Container diagram · E8 Component diagram)</t>
  </si>
  <si>
    <t>E6.1 · The payment provider appears as an external system</t>
  </si>
  <si>
    <t>Submitted context diagram. Draft defect: no payment provider (register C1.1)</t>
  </si>
  <si>
    <t>the context diagram shows a payment provider/PSP outside the system boundary connected to CityCycle</t>
  </si>
  <si>
    <t>E6.2 · Riders and operators are distinct actors</t>
  </si>
  <si>
    <t>Submitted context diagram. Draft defect: rider is the only actor (register C1.2 / DR-10)</t>
  </si>
  <si>
    <t>the context diagram shows both a rider person and an operator person interacting with the system</t>
  </si>
  <si>
    <t>E7.1 · No client reaches the database directly</t>
  </si>
  <si>
    <t>Submitted container diagram. Draft defect: mobile app reads the vehicles table over SQL (register C2.1 / DR-02)</t>
  </si>
  <si>
    <t>the draft's mobile-app-to-database edge is removed; every client container talks only to the API/backend and the database is reached by backend containers only</t>
  </si>
  <si>
    <t>E7.2 · Near-real-time vehicle availability has a dedicated path</t>
  </si>
  <si>
    <t>Submitted container diagram. Draft defect: fleet writes SQL directly and clients poll the DB (register C2.2 / DR-12)</t>
  </si>
  <si>
    <t>a telemetry-ingestion element and a fast read store/cache (or stream) appear and the map/availability query is served from it rather than clients polling the main database</t>
  </si>
  <si>
    <t>E7.3 · Authentication is placed deliberately</t>
  </si>
  <si>
    <t>Submitted container (or component) diagram. Draft defect: auth absent from every diagram (register C2.3 / DR-06)</t>
  </si>
  <si>
    <t>an auth/identity element (own component/container or external IdP) appears and protected client flows pass through it</t>
  </si>
  <si>
    <t>E8.1 · Fare calculation is server-side</t>
  </si>
  <si>
    <t>Submitted component diagram + API.md. Draft defect: FareCalculator in the mobile app and endRide takes &amp;price= (register C3.1 / DR-11)</t>
  </si>
  <si>
    <t>a pricing/fare component sits in the backend; the draft's in-app FareCalculator is gone and no client-supplied price remains in any artefact</t>
  </si>
  <si>
    <t>E8.2 · Incident and maintenance handling exists as a backend component</t>
  </si>
  <si>
    <t>Submitted component diagram. Draft defect: no such component (register C3.2 / DR-09)</t>
  </si>
  <si>
    <t>a component owning incident reports and maintenance tickets appears in the component diagram</t>
  </si>
  <si>
    <t>E4</t>
  </si>
  <si>
    <t>API contract (E9 Resources &amp; flows · E10 Status codes &amp; errors · E11 Collections · E12 Sensitive data handling)</t>
  </si>
  <si>
    <t>E9.1 · All paths are versioned</t>
  </si>
  <si>
    <t>Submitted API.md. Draft defect: bare unversioned paths (register D1.1)</t>
  </si>
  <si>
    <t>every documented path starts with /v1/ or versioned via a header (query param not acceptable)</t>
  </si>
  <si>
    <t>E9 Resources &amp; flows: enter the number of satisfied checks, 0–2, as the score. Checks: E9.2, E9.4.</t>
  </si>
  <si>
    <t>Input of each check: sheet 'Compacted aspect checks', rows for E9.2, E9.4.</t>
  </si>
  <si>
    <t>Score = satisfied checks (0–2); A check counts only when its test passes in full. Expected result of each check: sheet 'Compacted aspect checks', rows for E9.2, E9.4.</t>
  </si>
  <si>
    <t>E9 Resources &amp; flows: enter the number of satisfied checks, 0–2, as the score. Checks: E9.3, E9.5.</t>
  </si>
  <si>
    <t>Input of each check: sheet 'Compacted aspect checks', rows for E9.3, E9.5.</t>
  </si>
  <si>
    <t>Score = satisfied checks (0–2); A check counts only when its test passes in full. Expected result of each check: sheet 'Compacted aspect checks', rows for E9.3, E9.5.</t>
  </si>
  <si>
    <t>E10.1 · The always-200 envelope is replaced by real status codes</t>
  </si>
  <si>
    <t>Submitted API.md. Draft defect: every endpoint returns 200 with an ok flag (register D2.1 / DR-05)</t>
  </si>
  <si>
    <t>trip creation returns 201 and failures use 4xx (400/401/403/404/409 as appropriate); no ok-flag wrapper with universal 200 remains</t>
  </si>
  <si>
    <t>E10 Status codes &amp; errors: enter the number of satisfied checks, 0–2, as the score. Checks: E10.2, E10.4.</t>
  </si>
  <si>
    <t>Input of each check: sheet 'Compacted aspect checks', rows for E10.2, E10.4.</t>
  </si>
  <si>
    <t>Score = satisfied checks (0–2); A check counts only when its test passes in full. Expected result of each check: sheet 'Compacted aspect checks', rows for E10.2, E10.4.</t>
  </si>
  <si>
    <t>E10.3 · The concurrent-unlock conflict is resolved in the contract</t>
  </si>
  <si>
    <t>Submitted API.md. Draft defect: busy vehicle returns 200 with ok:false and no concurrency statement (register D2.3 / DR-04)</t>
  </si>
  <si>
    <t>start-ride documents that of two simultaneous unlocks exactly one succeeds and the loser receives 409 expressed in the shared error model</t>
  </si>
  <si>
    <t>E11 Collections: enter the number of satisfied checks, 0–2, as the score. Checks: E11.1, E11.2.</t>
  </si>
  <si>
    <t>Input of each check: sheet 'Compacted aspect checks', rows for E11.1, E11.2.</t>
  </si>
  <si>
    <t>Score = satisfied checks (0–2); A check counts only when its test passes in full. Expected result of each check: sheet 'Compacted aspect checks', rows for E11.1, E11.2.</t>
  </si>
  <si>
    <t>E12.1 · Raw card data is gone from the design</t>
  </si>
  <si>
    <t>Submitted schema.sql + DataDictionary.md + Decisions.md. Draft defect: payment_card_number and payment_card_cvv stored in clear (register E1.1 / DR-01)</t>
  </si>
  <si>
    <t>no PAN/CVV column anywhere; members hold only an opaque payment-provider token/reference and tokenisation is named in the dictionary or decision log</t>
  </si>
  <si>
    <t>E12.2 · Own-data endpoints derive identity from the token</t>
  </si>
  <si>
    <t>Submitted API.md. Draft defect: /tripHistory?memberId=42 — any member readable by anyone (register E1.2 / DR-06)</t>
  </si>
  <si>
    <t>ride history and profile take no client-supplied member id and the contract states the member comes from the auth token</t>
  </si>
  <si>
    <t>E12.3 · Token authentication is specified for protected operations</t>
  </si>
  <si>
    <t>Submitted API.md. Draft defect: authentication will be added later (register E1.3 / DR-06)</t>
  </si>
  <si>
    <t>the contract documents Authorization: Bearer on all protected endpoints and 401 for a missing or invalid token</t>
  </si>
  <si>
    <t>E5</t>
  </si>
  <si>
    <t>Review &amp; decision log</t>
  </si>
  <si>
    <t>E13.1 · The review finds the seeded major defects</t>
  </si>
  <si>
    <t>Submitted Review.md counted against Table 1 of defect-register.md</t>
  </si>
  <si>
    <t>Review.md names at least 8 of the 12 major defects DR-01..DR-12 each with the draft behaviour identified and a fix matching the register's accepted-fix column</t>
  </si>
  <si>
    <t>E13.2 · The decision log commits to a concurrency mechanism</t>
  </si>
  <si>
    <t>Submitted Decisions.md. Draft defect: no decision log exists (register E2.2 / DR-04)</t>
  </si>
  <si>
    <t>Decisions.md names a concrete mechanism for the double-unlock race (partial unique index / atomic conditional update / equivalent lock table) consistent with the submitted schema</t>
  </si>
  <si>
    <t>Criterion F</t>
  </si>
  <si>
    <t>F1</t>
  </si>
  <si>
    <t>F1.1 · Submission via Git — competitor repository reachable, main branch present</t>
  </si>
  <si>
    <t>F1.2 · Solution builds: competitor CivicCharge.Billing.Services compiles against the CivicCharge.Billing.Contracts NuGet package</t>
  </si>
  <si>
    <t>Judge swaps the competitor's CivicCharge.Billing.Services folder into the solution; offline restore (local-nuget) + build succeed.</t>
  </si>
  <si>
    <t>F2</t>
  </si>
  <si>
    <t>Validator (F2 sentinels &amp; valid tariffs · F3 issue rules (one rule, one input, one test) · F4 evaluation order &amp; de-duplication)</t>
  </si>
  <si>
    <t>F2 Validator — sentinels &amp; valid tariffs: enter the number of satisfied checks, 0–3, as the score. Checks: F2.1–F2.3.</t>
  </si>
  <si>
    <t>Input of each check: sheet 'Compacted aspect checks', rows for F2.1–F2.3.</t>
  </si>
  <si>
    <t>Score = satisfied checks (0–3); A check counts only when its test passes in full. Expected result of each check: sheet 'Compacted aspect checks', rows for F2.1–F2.3.</t>
  </si>
  <si>
    <t>F2.4 · T-01 + T-02: the whole-day two-window tariff is valid — windows that only touch share no minute under [Start, End), and coverage from 0 to 1440 with no gap is complete tiling</t>
  </si>
  <si>
    <t>Tariff DAY [0,720) @20 / EVE [720,1440) @40; IdleFeePerMinuteCents 5; GraceMinutes 10; SessionCapCents null (absent cap is legal). T-01 and T-02 share this one input in the brief — see Traceability D-A2.</t>
  </si>
  <si>
    <t>IsValid = true; Issues empty. An implementation that reports windows-overlap for touching windows (T-01) or windows-not-tiling for this tariff (T-02) loses the mark</t>
  </si>
  <si>
    <t>F2.5 · A tariff on every legal ZERO boundary is valid: one window covering the whole day (the tiling rule's one-window case), priced 0 c/kWh, zero idle fee, zero grace, zero cap — rules 5 and 6 invalidate only values strictly below 0</t>
  </si>
  <si>
    <t>Tariff ALL [0,1440) @0; IdleFeePerMinuteCents 0; GraceMinutes 0; SessionCapCents 0.</t>
  </si>
  <si>
    <t>IsValid = true; Issues empty. A &lt;= 0 comparison on the rate, the idle fee, the grace minutes or the cap wrongly rejects this tariff and loses the mark — and a validator that rejects a 0 c/kWh window would break FR-2's free-charging promotions outright</t>
  </si>
  <si>
    <t>F3 Validator — issue rules (one rule, one input, one test): enter the number of satisfied checks, 0–6, as the score. Checks: F3.1–F3.5, F3.9.</t>
  </si>
  <si>
    <t>Input of each check: sheet 'Compacted aspect checks', rows for F3.1–F3.5, F3.9.</t>
  </si>
  <si>
    <t>Score = satisfied checks (0–6); A check counts only when its test passes in full. Expected result of each check: sheet 'Compacted aspect checks', rows for F3.1–F3.5, F3.9.</t>
  </si>
  <si>
    <t>F3 Validator — issue rules (one rule, one input, one test): enter the number of satisfied checks, 0–4, as the score. Checks: F3.6, F3.7, F3.10, F3.11.</t>
  </si>
  <si>
    <t>Input of each check: sheet 'Compacted aspect checks', rows for F3.6, F3.7, F3.10, F3.11.</t>
  </si>
  <si>
    <t>Score = satisfied checks (0–4); A check counts only when its test passes in full. Expected result of each check: sheet 'Compacted aspect checks', rows for F3.6, F3.7, F3.10, F3.11.</t>
  </si>
  <si>
    <t>F3.8 · T-03 — negative-rate: a window priced below zero is rejected</t>
  </si>
  <si>
    <t>Single window ALL [0,1440) @-5 — everything else valid, so the tariff tiles and the only issue is the rate. Single for the same reason as F3.1.</t>
  </si>
  <si>
    <t>IsValid = false; Issues == ["negative-rate"]. The reported defect is that this passes silently</t>
  </si>
  <si>
    <t>F4 Validator — evaluation order &amp; de-duplication: enter the number of satisfied checks, 0–2, as the score. Checks: F4.1, F4.2.</t>
  </si>
  <si>
    <t>Input of each check: sheet 'Compacted aspect checks', rows for F4.1, F4.2.</t>
  </si>
  <si>
    <t>Score = satisfied checks (0–2); A check counts only when its test passes in full. Expected result of each check: sheet 'Compacted aspect checks', rows for F4.1, F4.2.</t>
  </si>
  <si>
    <t>F4.3 · All five co-occurring rules violated at once return the full list in evaluation order (empty-tariff excluded: it needs the window list to be missing, so it cannot co-occur)</t>
  </si>
  <si>
    <t>W1 [-10,700) @-5 / W2 [600,1440) @40; IdleFeePerMinuteCents = -1. One tariff that starts below 0 (rule 2), overlaps on 600..699 (rule 3), does not start at 0 (rule 4), is negatively priced (rule 5) and has a negative idle fee (rule 6).</t>
  </si>
  <si>
    <t>Issues == ["window-out-of-range", "windows-overlap", "windows-not-tiling", "negative-rate", "invalid-fees"] — exact sequence</t>
  </si>
  <si>
    <t>F3</t>
  </si>
  <si>
    <t>Allocator (F5 energy split &amp; slice shape · F6 slice cost &amp; rounding · F7 sentinels (never throw))</t>
  </si>
  <si>
    <t>F5.1 · Worked example from the brief: 08:00-08:40 at 8000 Wh splits 30 min peak / 10 min off-peak and prices each slice at its own window rate</t>
  </si>
  <si>
    <t>Session Start 480, ChargeComplete 520 (M = 40), EnergyWh 8000. Tariff NIGHT [0,480) @15 / PEAK [480,510) @50 / OFF [510,1440) @20 (the brief's example windows, inside a tiling tariff).</t>
  </si>
  <si>
    <t>Breakdown == [(PEAK, 6000 Wh, 300c), (OFF, 2000 Wh, 40c)] — ids, energies and costs all exact</t>
  </si>
  <si>
    <t>F5 Allocator — energy split &amp; slice shape: enter the number of satisfied checks, 0–4, as the score. Checks: F5.2–F5.4, F5.8.</t>
  </si>
  <si>
    <t>Input of each check: sheet 'Compacted aspect checks', rows for F5.2–F5.4, F5.8.</t>
  </si>
  <si>
    <t>Score = satisfied checks (0–4); A check counts only when its test passes in full. Expected result of each check: sheet 'Compacted aspect checks', rows for F5.2–F5.4, F5.8.</t>
  </si>
  <si>
    <t>F5 Allocator — energy split &amp; slice shape: enter the number of satisfied checks, 0–2, as the score. Checks: F5.5, F5.7.</t>
  </si>
  <si>
    <t>Input of each check: sheet 'Compacted aspect checks', rows for F5.5, F5.7.</t>
  </si>
  <si>
    <t>Score = satisfied checks (0–2); A check counts only when its test passes in full. Expected result of each check: sheet 'Compacted aspect checks', rows for F5.5, F5.7.</t>
  </si>
  <si>
    <t>F5.6 · FR-1 AC2 — a charging interval lying entirely inside one window yields exactly one slice</t>
  </si>
  <si>
    <t>Session Start 100, ChargeComplete 160 (M = 60), EnergyWh 3000; Tariff DAY [0,720) @20 / EVE [720,1440) @40.</t>
  </si>
  <si>
    <t>Breakdown == [(DAY, 3000 Wh, 60c)] — one slice carrying all the energy</t>
  </si>
  <si>
    <t>F6.1 · A slice cost landing exactly on a midpoint rounds half AWAY FROM ZERO (convention 4)</t>
  </si>
  <si>
    <t>Session Start 600, ChargeComplete 660 (M = 60), EnergyWh 50. Tariff DAY [0,720) @50 / EVE [720,1440) @40.</t>
  </si>
  <si>
    <t>Breakdown == [(DAY, 50 Wh, 3c)]. 50 Wh at 50 c/kWh is 2.5c exactly; banker's rounding (the .NET default for Math.Round) returns 2 and fails. 2.5 is exact in binary64, Fraction and Decimal alike, so the midpoint is a real midpoint in every numeric model</t>
  </si>
  <si>
    <t>F6.2 · FR-2 AC1 — a 0 c/kWh window still produces a slice, showing its apportioned energy at zero cost</t>
  </si>
  <si>
    <t>Session Start 660, ChargeComplete 780 (M = 120, 60 min in each window), EnergyWh 4000. Tariff FREE [0,720) @0 / EVE [720,1440) @40.</t>
  </si>
  <si>
    <t>Breakdown == [(FREE, 2000 Wh, 0c), (EVE, 2000 Wh, 80c)] — the free slice is present with its 2000 Wh; filtering zero-cost slices out of the receipt fails</t>
  </si>
  <si>
    <t>F7 Allocator — sentinels (never throw): enter the number of satisfied checks, 0–5, as the score. Checks: F7.1–F7.5.</t>
  </si>
  <si>
    <t>Input of each check: sheet 'Compacted aspect checks', rows for F7.1–F7.5.</t>
  </si>
  <si>
    <t>Score = satisfied checks (0–5); A check counts only when its test passes in full. Expected result of each check: sheet 'Compacted aspect checks', rows for F7.1–F7.5.</t>
  </si>
  <si>
    <t>F4</t>
  </si>
  <si>
    <t>Pricer (F8 idle time, grace &amp; idle fee · F9 energy cost, member discount &amp; session cap · F10 sentinels (never throw))</t>
  </si>
  <si>
    <t>F8 Pricer — idle time, grace &amp; idle fee: enter the number of satisfied checks, 0–2, as the score. Checks: F8.1, F8.2.</t>
  </si>
  <si>
    <t>Input of each check: sheet 'Compacted aspect checks', rows for F8.1, F8.2.</t>
  </si>
  <si>
    <t>Score = satisfied checks (0–2); A check counts only when its test passes in full. Expected result of each check: sheet 'Compacted aspect checks', rows for F8.1, F8.2.</t>
  </si>
  <si>
    <t>F8 Pricer — idle time, grace &amp; idle fee: enter the number of satisfied checks, 0–2, as the score. Checks: F8.3, F8.5.</t>
  </si>
  <si>
    <t>Input of each check: sheet 'Compacted aspect checks', rows for F8.3, F8.5.</t>
  </si>
  <si>
    <t>Score = satisfied checks (0–2); A check counts only when its test passes in full. Expected result of each check: sheet 'Compacted aspect checks', rows for F8.3, F8.5.</t>
  </si>
  <si>
    <t>F8.4 · EndMinute before ChargeCompleteMinute clamps idle to 0 (the max(0, ...) in the idle formula)</t>
  </si>
  <si>
    <t>Session Start 600, ChargeComplete 660, End 640, EnergyWh 6000; Tariff DAY [0,720) @20 / EVE [720,1440) @40 with IdleFeePerMinuteCents 5, GraceMinutes 10, cap null.</t>
  </si>
  <si>
    <t>IdleFeeCents == 0; EnergyCostCents == 120; TotalCents == 120; Breakdown == [(DAY, 6000 Wh, 120c)]. A negative idle would produce a negative fee and a total below the energy cost</t>
  </si>
  <si>
    <t>F9.1 · Headline: a multi-window session with idle time is priced end to end — EnergyCostCents is the sum of the slice costs, the idle fee is added, and Breakdown is the per-window result</t>
  </si>
  <si>
    <t>Session Start 480, ChargeComplete 520, End 540 (idle 20), EnergyWh 8000, non-member. Tariff NIGHT [0,480) @15 / PEAK [480,510) @50 / OFF [510,1440) @20 with IdleFeePerMinuteCents 5, GraceMinutes 10, cap null.</t>
  </si>
  <si>
    <t>EnergyCostCents == 340 (300 + 40); IdleFeeCents == 50; TotalCents == 390; Breakdown == [(PEAK, 6000 Wh, 300c), (OFF, 2000 Wh, 40c)]</t>
  </si>
  <si>
    <t>F9 Pricer — energy cost, member discount &amp; session cap: enter the number of satisfied checks, 0–2, as the score. Checks: F9.2, F9.4.</t>
  </si>
  <si>
    <t>Input of each check: sheet 'Compacted aspect checks', rows for F9.2, F9.4.</t>
  </si>
  <si>
    <t>Score = satisfied checks (0–2); A check counts only when its test passes in full. Expected result of each check: sheet 'Compacted aspect checks', rows for F9.2, F9.4.</t>
  </si>
  <si>
    <t>F9 Pricer — energy cost, member discount &amp; session cap: enter the number of satisfied checks, 0–2, as the score. Checks: F9.3, F9.6.</t>
  </si>
  <si>
    <t>Input of each check: sheet 'Compacted aspect checks', rows for F9.3, F9.6.</t>
  </si>
  <si>
    <t>Score = satisfied checks (0–2); A check counts only when its test passes in full. Expected result of each check: sheet 'Compacted aspect checks', rows for F9.3, F9.6.</t>
  </si>
  <si>
    <t>F9 Pricer — energy cost, member discount &amp; session cap: enter the number of satisfied checks, 0–2, as the score. Checks: F9.5, F9.7.</t>
  </si>
  <si>
    <t>Input of each check: sheet 'Compacted aspect checks', rows for F9.5, F9.7.</t>
  </si>
  <si>
    <t>Score = satisfied checks (0–2); A check counts only when its test passes in full. Expected result of each check: sheet 'Compacted aspect checks', rows for F9.5, F9.7.</t>
  </si>
  <si>
    <t>F10 Pricer — sentinels (never throw): enter the number of satisfied checks, 0–3, as the score. Checks: F10.1–F10.3.</t>
  </si>
  <si>
    <t>Input of each check: sheet 'Compacted aspect checks', rows for F10.1–F10.3.</t>
  </si>
  <si>
    <t>Score = satisfied checks (0–3); A check counts only when its test passes in full. Expected result of each check: sheet 'Compacted aspect checks', rows for F10.1–F10.3.</t>
  </si>
  <si>
    <t>F5</t>
  </si>
  <si>
    <t>Reporter (F11 grouping &amp; per-connector aggregates · F12 row order, ordinal ids &amp; sentinels)</t>
  </si>
  <si>
    <t>F11 Reporter — grouping &amp; per-connector aggregates: enter the number of satisfied checks, 0–2, as the score. Checks: F11.1, F11.2.</t>
  </si>
  <si>
    <t>Input of each check: sheet 'Compacted aspect checks', rows for F11.1, F11.2.</t>
  </si>
  <si>
    <t>Score = satisfied checks (0–2); A check counts only when its test passes in full. Expected result of each check: sheet 'Compacted aspect checks', rows for F11.1, F11.2.</t>
  </si>
  <si>
    <t>F11.3 · RevenueCents is the sum of the sessions' TotalCents — the capped total, not the energy cost</t>
  </si>
  <si>
    <t>One session on Bay-1: Start 600, ChargeComplete 660, End 660, EnergyWh 10000 (energy cost 200, no idle); Tariff DAY [0,720) @20 / EVE [720,1440) @40 with SessionCapCents 150.</t>
  </si>
  <si>
    <t>One row: {Bay-1, Sessions 1, EnergyWh 10000, RevenueCents 150, OccupiedMinutes 60}. Summing EnergyCostCents gives 200 and fails; so does ignoring the cap</t>
  </si>
  <si>
    <t>F12.1 · T-09 — rows are sorted by ConnectorId ordinal ascending, not left in input order</t>
  </si>
  <si>
    <t>Three sessions, connectors first appearing as Bay-2 (Start 600, ChargeComplete 660, End 668, 6000 Wh), Bay-10 (100, 160, 160, 3000 Wh), Bay-1 (0, 60, 60, 1200 Wh); Tariff DAY [0,720) @20 / EVE [720,1440) @40. Every aggregate differs between rows.</t>
  </si>
  <si>
    <t>Rows in the order Bay-1, Bay-10, Bay-2 with {1, 1200 Wh, 24c, 60 min}, {1, 3000 Wh, 60c, 60 min} and {1, 6000 Wh, 120c, 68 min}. Input order gives Bay-2, Bay-10, Bay-1; a numeric or culture-aware sort gives Bay-1, Bay-2, Bay-10; both fail</t>
  </si>
  <si>
    <t>F12.2 · Connector ids are matched case-sensitively and ordinally: Bay-1 and bay-1 are two connectors, ordered 'B' (0x42) before 'b' (0x62)</t>
  </si>
  <si>
    <t>Sessions on Bay-1 (Start 600, ChargeComplete 660, End 668, 6000 Wh) and bay-1 (100, 160, 160, 3000 Wh); Tariff DAY [0,720) @20 / EVE [720,1440) @40.</t>
  </si>
  <si>
    <t>Two rows: {Bay-1, 1, 6000 Wh, 120c, 68 min} then {bay-1, 1, 3000 Wh, 60c, 60 min}. Case-insensitive grouping returns one row of 2 sessions and fails</t>
  </si>
  <si>
    <t>F12.3 · A null sessions collection returns an empty list — never null, never throws (the brief documents null and empty as one sentinel)</t>
  </si>
  <si>
    <t>Summarise(null, tariff day [0,720) @20 / eve [720,1440) @40).</t>
  </si>
  <si>
    <t>Result is an empty IReadOnlyList&lt;ConnectorDaySummary&gt;; not null; no exception</t>
  </si>
  <si>
    <t>F6</t>
  </si>
  <si>
    <t>Billing run — validate-first, order &amp; sentinels</t>
  </si>
  <si>
    <t>F13 Billing run — validate-first, order &amp; sentinels: enter the number of satisfied checks, 0–2, as the score. Checks: F13.1, F13.2.</t>
  </si>
  <si>
    <t>Input of each check: sheet 'Compacted aspect checks', rows for F13.1, F13.2.</t>
  </si>
  <si>
    <t>Score = satisfied checks (0–2); A check counts only when its test passes in full. Expected result of each check: sheet 'Compacted aspect checks', rows for F13.1, F13.2.</t>
  </si>
  <si>
    <t>F13.3 · Each row is that session's full priced result (grades the observable outcome; the brief's 'reuse the injected components' cannot be observed through IBillingRun — Traceability D-E1)</t>
  </si>
  <si>
    <t>S-1 (Start 600, ChargeComplete 660, End 660, EnergyWh 6000) and S-2 (480, 520, 520, 8000 Wh) on the valid single-window tariff ALL [0,1440) @20 (single on purpose: a touching two-window tariff would make this losable to an unfixed T-01, F2.4's job).</t>
  </si>
  <si>
    <t>[{S-1, EnergyCostCents 120, IdleFeeCents 0, TotalCents 120, Breakdown [(ALL, 6000 Wh, 120c)]}, {S-2, 160, 0, 160, [(ALL, 8000 Wh, 160c)]}]</t>
  </si>
  <si>
    <t>F13 Billing run — validate-first, order &amp; sentinels: enter the number of satisfied checks, 0–2, as the score. Checks: F13.4, F13.5.</t>
  </si>
  <si>
    <t>Input of each check: sheet 'Compacted aspect checks', rows for F13.4, F13.5.</t>
  </si>
  <si>
    <t>Score = satisfied checks (0–2); A check counts only when its test passes in full. Expected result of each check: sheet 'Compacted aspect checks', rows for F13.4, F13.5.</t>
  </si>
  <si>
    <t>F13.6 · Every session gets a row, including one that delivered no energy — the run does not silently drop degenerate sessions</t>
  </si>
  <si>
    <t>S-1 (Start 600, ChargeComplete 660, End 660, EnergyWh 6000) and S-2 (Start 660, ChargeComplete 660, End 660, EnergyWh 0) on the single-window tariff ALL [0,1440) @20 (single on purpose: a touching two-window tariff would be losable to an unfixed T-01).</t>
  </si>
  <si>
    <t>Two rows in input order: {S-1, 120, 0, 120, [(ALL, 6000 Wh, 120c)]} then {S-2, 0, 0, 0, []} — the second is C's zeroed sentinel, still carrying its session id</t>
  </si>
  <si>
    <t>Criterion G</t>
  </si>
  <si>
    <t>G1</t>
  </si>
  <si>
    <t>Judge quality — test-suite line coverage &amp; mutation score (G1 SubIndex · G2 Category · G3 Aggregation · G4 NowCast)</t>
  </si>
  <si>
    <t>4</t>
  </si>
  <si>
    <t>5choices1</t>
  </si>
  <si>
    <t>CHOICE</t>
  </si>
  <si>
    <t>CHOICE1_DEDUCTION:::100.00000000#x~x##-#CHOICE1_LABEL:::#x~x#0 - 49.99%#-#CHOICE2_DEDUCTION:::60.00000000#x~x##-#CHOICE2_LABEL:::#x~x#50 - 69.99%#-#CHOICE3_DEDUCTION:::40.00000000#x~x##-#CHOICE3_LABEL:::#x~x#70 - 79.99%#-#CHOICE4_DEDUCTION:::20.00000000#x~x##-#CHOICE4_LABEL:::#x~x#80 - 89.99%#-#CHOICE5_DEDUCTION:::0.00000000#x~x##-#CHOICE5_LABEL:::#x~x#90 - 100%#-#DEDUCTION_TYPE:::#x~x#PERCENT</t>
  </si>
  <si>
    <t>484891ab5fd00c8f7cedc2c286ac60c0</t>
  </si>
  <si>
    <t>G1 SubIndex (AirQualityIndex.SubIndex.cs) — line coverage: enter the measured coverage as a PERCENTAGE (0–100) as the score. Original aspects: G1.1, G1.2.</t>
  </si>
  <si>
    <t>the judge's 'coverage' event for part 'subindex' (AirQualityIndex.SubIndex.cs); one value per run, 0..1</t>
  </si>
  <si>
    <t>5choices2</t>
  </si>
  <si>
    <t>CHOICE1_DEDUCTION:::100.00000000#x~x##-#CHOICE1_LABEL:::#x~x#0 - 24.99%#-#CHOICE2_DEDUCTION:::90.00000000#x~x##-#CHOICE2_LABEL:::#x~x#25 - 49.99%#-#CHOICE3_DEDUCTION:::70.00000000#x~x##-#CHOICE3_LABEL:::#x~x#50 - 69.99%#-#CHOICE4_DEDUCTION:::50.00000000#x~x##-#CHOICE4_LABEL:::#x~x#70 - 84.99%#-#CHOICE5_DEDUCTION:::0.00000000#x~x##-#CHOICE5_LABEL:::#x~x#85 - 100%#-#DEDUCTION_TYPE:::#x~x#PERCENT</t>
  </si>
  <si>
    <t>e0f878c55b8dc64d1718627e751dd706</t>
  </si>
  <si>
    <t>G1 SubIndex (AirQualityIndex.SubIndex.cs) — mutation score: enter the percentage of tested mutants killed (0–100) as the score. Original aspects: G1.3, G1.4, G1.5, G1.6.</t>
  </si>
  <si>
    <t>the judge's 'mutation' event for part 'subindex' (AirQualityIndex.SubIndex.cs); one value per run, 0..1</t>
  </si>
  <si>
    <t>G2 Category (AirQualityIndex.Category.cs) — line coverage: enter the measured coverage as a PERCENTAGE (0–100) as the score. Original aspects: G2.1, G2.2.</t>
  </si>
  <si>
    <t>the judge's 'coverage' event for part 'category' (AirQualityIndex.Category.cs); one value per run, 0..1</t>
  </si>
  <si>
    <t>G2 Category (AirQualityIndex.Category.cs) — mutation score: enter the percentage of tested mutants killed (0–100) as the score. Original aspects: G2.3, G2.4, G2.5, G2.6.</t>
  </si>
  <si>
    <t>the judge's 'mutation' event for part 'category' (AirQualityIndex.Category.cs); one value per run, 0..1</t>
  </si>
  <si>
    <t>G3 Aggregation (AirQualityIndex.Aggregation.cs) — line coverage: enter the measured coverage as a PERCENTAGE (0–100) as the score. Original aspects: G3.1, G3.2.</t>
  </si>
  <si>
    <t>the judge's 'coverage' event for part 'aggregation' (AirQualityIndex.Aggregation.cs); one value per run, 0..1</t>
  </si>
  <si>
    <t>G3 Aggregation (AirQualityIndex.Aggregation.cs) — mutation score: enter the percentage of tested mutants killed (0–100) as the score. Original aspects: G3.3, G3.4, G3.5, G3.6.</t>
  </si>
  <si>
    <t>the judge's 'mutation' event for part 'aggregation' (AirQualityIndex.Aggregation.cs); one value per run, 0..1</t>
  </si>
  <si>
    <t>G4 NowCast (AirQualityIndex.NowCast.cs) — line coverage: enter the measured coverage as a PERCENTAGE (0–100) as the score. Original aspects: G4.1, G4.2.</t>
  </si>
  <si>
    <t>the judge's 'coverage' event for part 'nowcast' (AirQualityIndex.NowCast.cs); one value per run, 0..1</t>
  </si>
  <si>
    <t>G4 NowCast (AirQualityIndex.NowCast.cs) — mutation score: enter the percentage of tested mutants killed (0–100) as the score. Original aspects: G4.3, G4.4, G4.5, G4.6.</t>
  </si>
  <si>
    <t>the judge's 'mutation' event for part 'nowcast' (AirQualityIndex.NowCast.cs); one value per run, 0..1</t>
  </si>
  <si>
    <t>Criterion H</t>
  </si>
  <si>
    <t>Criterion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</si>
</sst>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 x14ac:knownFonts="1"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0"/>
      <color rgb="FFFFFFFF"/>
      <name val="Arial"/>
      <family val="2"/>
    </font>
    <font>
      <sz val="18"/>
      <color indexed="9"/>
      <name val="Arial"/>
      <family val="2"/>
    </font>
    <font>
      <sz val="16"/>
      <color indexed="9"/>
      <name val="Arial"/>
      <family val="2"/>
    </font>
    <font>
      <name val="Arial"/>
      <sz val="10.0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969696"/>
        <bgColor rgb="FF000000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right style="medium"/>
    </border>
    <border>
      <right style="medium">
        <color indexed="8"/>
      </right>
    </border>
    <border>
      <left style="medium"/>
      <right style="medium"/>
    </border>
    <border>
      <left style="medium"/>
      <right style="medium">
        <color indexed="8"/>
      </right>
    </border>
    <border>
      <right style="medium">
        <color indexed="8"/>
      </right>
      <bottom style="medium"/>
    </border>
    <border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</border>
    <border>
      <left style="medium">
        <color indexed="8"/>
      </left>
      <right style="medium">
        <color indexed="8"/>
      </right>
      <bottom style="medium"/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right style="medium"/>
      <bottom>
        <color indexed="8"/>
      </bottom>
    </border>
    <border>
      <left>
        <color indexed="8"/>
      </left>
      <right style="medium"/>
      <bottom>
        <color indexed="8"/>
      </bottom>
    </border>
    <border>
      <left>
        <color indexed="8"/>
      </left>
      <right style="medium">
        <color indexed="8"/>
      </right>
      <bottom>
        <color indexed="8"/>
      </bottom>
    </border>
    <border>
      <left>
        <color indexed="8"/>
      </left>
      <right style="medium">
        <color indexed="8"/>
      </right>
      <top>
        <color indexed="8"/>
      </top>
      <bottom>
        <color indexed="8"/>
      </bottom>
    </border>
    <border>
      <bottom style="medium"/>
    </border>
    <border>
      <bottom style="medium">
        <color indexed="8"/>
      </bottom>
    </border>
    <border>
      <left>
        <color indexed="8"/>
      </left>
      <bottom style="medium">
        <color indexed="8"/>
      </bottom>
    </border>
    <border>
      <left>
        <color indexed="8"/>
      </left>
      <right>
        <color indexed="8"/>
      </right>
      <bottom style="medium">
        <color indexed="8"/>
      </bottom>
    </border>
    <border>
      <left>
        <color indexed="8"/>
      </left>
      <right>
        <color indexed="8"/>
      </right>
      <top>
        <color indexed="8"/>
      </top>
      <bottom style="medium">
        <color indexed="8"/>
      </bottom>
    </border>
    <border>
      <right style="medium"/>
      <bottom style="medium"/>
    </border>
    <border>
      <right style="medium"/>
      <bottom style="medium">
        <color indexed="8"/>
      </bottom>
    </border>
    <border>
      <left>
        <color indexed="8"/>
      </left>
      <right style="medium"/>
      <bottom style="medium">
        <color indexed="8"/>
      </bottom>
    </border>
    <border>
      <left>
        <color indexed="8"/>
      </left>
      <right style="medium">
        <color indexed="8"/>
      </right>
      <bottom style="medium">
        <color indexed="8"/>
      </bottom>
    </border>
    <border>
      <left>
        <color indexed="8"/>
      </left>
      <right style="medium">
        <color indexed="8"/>
      </right>
      <top>
        <color indexed="8"/>
      </top>
      <bottom style="medium">
        <color indexed="8"/>
      </bottom>
    </border>
  </borders>
  <cellStyleXfs count="1">
    <xf numFmtId="0" fontId="0" fillId="0" borderId="0"/>
  </cellStyleXfs>
  <cellXfs count="156">
    <xf numFmtId="0" fontId="0" fillId="0" borderId="0" xfId="0"/>
    <xf numFmtId="0" fontId="0" fillId="0" borderId="0" xfId="0" applyFont="1"/>
    <xf numFmtId="0" fontId="2" fillId="0" borderId="0" xfId="0" applyFont="1" applyFill="1" applyBorder="1" applyAlignment="1">
      <alignment horizontal="center" vertical="center"/>
    </xf>
    <xf numFmtId="2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0" xfId="0" applyFont="true" applyAlignment="true">
      <alignment horizontal="left" vertical="center"/>
    </xf>
    <xf numFmtId="0" fontId="9" fillId="0" borderId="0" xfId="0" applyFont="true" applyAlignment="true">
      <alignment horizontal="center" vertical="center"/>
    </xf>
    <xf numFmtId="2" fontId="9" fillId="0" borderId="0" xfId="0" applyFont="true" applyAlignment="true" applyNumberFormat="true">
      <alignment horizontal="center" vertical="center"/>
    </xf>
    <xf numFmtId="0" fontId="9" fillId="0" borderId="7" xfId="0" applyFont="true" applyAlignment="true" applyBorder="true">
      <alignment horizontal="left" vertical="center"/>
    </xf>
    <xf numFmtId="0" fontId="9" fillId="0" borderId="9" xfId="0" applyFont="true" applyAlignment="true" applyBorder="true">
      <alignment horizontal="center" vertical="center"/>
    </xf>
    <xf numFmtId="2" fontId="9" fillId="0" borderId="9" xfId="0" applyFont="true" applyAlignment="true" applyBorder="true" applyNumberFormat="true">
      <alignment horizontal="center" vertical="center"/>
    </xf>
    <xf numFmtId="2" fontId="9" fillId="0" borderId="7" xfId="0" applyFont="true" applyAlignment="true" applyBorder="true" applyNumberFormat="true">
      <alignment horizontal="center" vertical="center"/>
    </xf>
    <xf numFmtId="0" fontId="9" fillId="0" borderId="11" xfId="0" applyFont="true" applyAlignment="true" applyBorder="true">
      <alignment horizontal="left" vertical="center"/>
    </xf>
    <xf numFmtId="0" fontId="9" fillId="0" borderId="14" xfId="0" applyFont="true" applyAlignment="true" applyBorder="true">
      <alignment horizontal="center" vertical="center"/>
    </xf>
    <xf numFmtId="2" fontId="9" fillId="0" borderId="14" xfId="0" applyFont="true" applyAlignment="true" applyBorder="true" applyNumberFormat="true">
      <alignment horizontal="center" vertical="center"/>
    </xf>
    <xf numFmtId="0" fontId="0" fillId="6" borderId="1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drawings/_rels/vmlDrawing1.v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vmlDrawing2.v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vmlDrawing2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2"/>
  <sheetViews>
    <sheetView tabSelected="1" workbookViewId="0">
      <selection activeCell="F21" sqref="F21"/>
    </sheetView>
  </sheetViews>
  <sheetFormatPr baseColWidth="10" defaultColWidth="8.83203125" defaultRowHeight="13" x14ac:dyDescent="0.15"/>
  <cols>
    <col min="1" max="1" customWidth="true" width="7.6640625"/>
    <col min="2" max="2" customWidth="true" width="39.0"/>
    <col min="3" max="3" customWidth="true" width="7.83203125"/>
    <col min="4" max="4" customWidth="true" width="8.5"/>
    <col min="5" max="5" customWidth="true" width="52.1640625"/>
    <col min="6" max="6" customWidth="true" width="8.0"/>
    <col min="7" max="7" customWidth="true" width="46.6640625"/>
    <col min="8" max="8" customWidth="true" width="15.5"/>
    <col min="9" max="9" customWidth="true" width="11.33203125"/>
    <col min="10" max="10" customWidth="true" width="11.0"/>
    <col min="11" max="11" customWidth="true" width="10.6640625"/>
    <col min="12" max="12" customWidth="true" width="18.5"/>
    <col min="14" max="14" bestFit="true" customWidth="true" width="10.6640625"/>
  </cols>
  <sheetData>
    <row r="1" spans="1:14" ht="49" customHeight="1" thickBot="1" x14ac:dyDescent="0.2">
      <c r="A1" s="26" t="s">
        <v>24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4" ht="36" customHeight="1" thickBot="1" x14ac:dyDescent="0.2">
      <c r="C2" s="2"/>
      <c r="E2" s="2"/>
      <c r="J2" s="2"/>
    </row>
    <row r="3" spans="1:14" ht="35" customHeight="1" thickBot="1" x14ac:dyDescent="0.2">
      <c r="A3" s="20" t="s">
        <v>21</v>
      </c>
      <c r="B3" s="21"/>
      <c r="C3" s="21"/>
      <c r="D3" s="21"/>
      <c r="E3" s="21"/>
      <c r="F3" s="21"/>
      <c r="G3" s="21"/>
      <c r="H3" s="21"/>
      <c r="I3" s="21"/>
      <c r="J3" s="21"/>
      <c r="K3" s="22"/>
    </row>
    <row r="4" spans="1:14" ht="35" customHeight="1" thickBot="1" x14ac:dyDescent="0.2">
      <c r="A4" s="11" t="s">
        <v>12</v>
      </c>
      <c r="B4" s="17" t="s">
        <v>22</v>
      </c>
      <c r="C4" s="18"/>
      <c r="D4" s="18"/>
      <c r="E4" s="18"/>
      <c r="F4" s="18"/>
      <c r="G4" s="18"/>
      <c r="H4" s="19"/>
      <c r="I4" s="12" t="s">
        <v>22</v>
      </c>
      <c r="J4" s="12" t="s">
        <v>14</v>
      </c>
      <c r="K4" s="12" t="s">
        <v>18</v>
      </c>
    </row>
    <row r="5" ht="25.0" customHeight="true">
      <c r="A5" t="n" s="35">
        <v>1.0</v>
      </c>
      <c r="B5" t="s" s="34">
        <v>25</v>
      </c>
      <c r="H5" s="41"/>
      <c r="I5" t="n" s="37">
        <v>5.0</v>
      </c>
      <c r="J5" s="36">
        <f>SUMIF(I28:I271, A5, K28:K271)</f>
      </c>
      <c r="K5" s="36">
        <f>ABS(I5-J5)</f>
      </c>
    </row>
    <row r="6" ht="25.0" customHeight="true">
      <c r="A6" t="n" s="35">
        <v>2.0</v>
      </c>
      <c r="B6" t="s" s="34">
        <v>26</v>
      </c>
      <c r="H6" s="41"/>
      <c r="I6" t="n" s="37">
        <v>5.0</v>
      </c>
      <c r="J6" s="36">
        <f>SUMIF(I28:I271, A6, K28:K271)</f>
      </c>
      <c r="K6" s="36">
        <f>ABS(I6-J6)</f>
      </c>
    </row>
    <row r="7" ht="25.0" customHeight="true">
      <c r="A7" t="n" s="35">
        <v>3.0</v>
      </c>
      <c r="B7" t="s" s="34">
        <v>27</v>
      </c>
      <c r="H7" s="41"/>
      <c r="I7" t="n" s="37">
        <v>10.0</v>
      </c>
      <c r="J7" s="36">
        <f>SUMIF(I28:I271, A7, K28:K271)</f>
      </c>
      <c r="K7" s="36">
        <f>ABS(I7-J7)</f>
      </c>
    </row>
    <row r="8" ht="25.0" customHeight="true">
      <c r="A8" t="n" s="35">
        <v>4.0</v>
      </c>
      <c r="B8" t="s" s="34">
        <v>28</v>
      </c>
      <c r="H8" s="41"/>
      <c r="I8" t="n" s="37">
        <v>15.0</v>
      </c>
      <c r="J8" s="36">
        <f>SUMIF(I28:I271, A8, K28:K271)</f>
      </c>
      <c r="K8" s="36">
        <f>ABS(I8-J8)</f>
      </c>
    </row>
    <row r="9" ht="25.0" customHeight="true">
      <c r="A9" t="n" s="35">
        <v>5.0</v>
      </c>
      <c r="B9" t="s" s="34">
        <v>29</v>
      </c>
      <c r="H9" s="41"/>
      <c r="I9" t="n" s="37">
        <v>50.0</v>
      </c>
      <c r="J9" s="36">
        <f>SUMIF(I28:I271, A9, K28:K271)</f>
      </c>
      <c r="K9" s="36">
        <f>ABS(I9-J9)</f>
      </c>
    </row>
    <row r="10" ht="25.0" customHeight="true">
      <c r="A10" t="n" s="39">
        <v>6.0</v>
      </c>
      <c r="B10" t="s" s="38">
        <v>30</v>
      </c>
      <c r="C10" s="42"/>
      <c r="D10" s="42"/>
      <c r="E10" s="42"/>
      <c r="F10" s="42"/>
      <c r="G10" s="42"/>
      <c r="H10" s="43"/>
      <c r="I10" t="n" s="40">
        <v>15.0</v>
      </c>
      <c r="J10" s="40">
        <f>SUMIF(I28:I271, A10, K28:K271)</f>
      </c>
      <c r="K10" s="40">
        <f>ABS(I10-J10)</f>
      </c>
    </row>
    <row r="11" spans="1:14" ht="25.0" customHeight="true" thickBot="1" x14ac:dyDescent="0.2">
      <c r="C11" s="10"/>
      <c r="E11" s="10"/>
      <c r="I11" s="29" t="s">
        <v>20</v>
      </c>
      <c r="J11" s="30"/>
      <c r="K11" s="40">
        <f>SUM(K5:K10)</f>
      </c>
    </row>
    <row r="12" spans="1:14" ht="20" customHeight="1" x14ac:dyDescent="0.15">
      <c r="C12" s="10"/>
      <c r="E12" s="10"/>
      <c r="I12" s="15"/>
      <c r="J12" s="15"/>
      <c r="K12" s="16"/>
    </row>
    <row r="13" spans="1:14" ht="20" customHeight="1" thickBot="1" x14ac:dyDescent="0.2">
      <c r="C13" s="10"/>
      <c r="E13" s="10"/>
      <c r="I13" s="13"/>
      <c r="J13" s="10"/>
    </row>
    <row r="14" spans="1:14" ht="35.0" customHeight="true" thickBot="1" x14ac:dyDescent="0.2">
      <c r="A14" s="20" t="s">
        <v>17</v>
      </c>
      <c r="B14" s="21"/>
      <c r="C14" s="21"/>
      <c r="D14" s="21"/>
      <c r="E14" s="21"/>
      <c r="F14" s="21"/>
      <c r="G14" s="21"/>
      <c r="H14" s="21"/>
      <c r="I14" s="21"/>
      <c r="J14" s="21"/>
      <c r="K14" s="22"/>
    </row>
    <row r="15" spans="1:14" ht="35.0" customHeight="true" thickBot="1" x14ac:dyDescent="0.2">
      <c r="A15" s="11" t="s">
        <v>19</v>
      </c>
      <c r="B15" s="23" t="s">
        <v>13</v>
      </c>
      <c r="C15" s="24"/>
      <c r="D15" s="24"/>
      <c r="E15" s="24"/>
      <c r="F15" s="24"/>
      <c r="G15" s="24"/>
      <c r="H15" s="24"/>
      <c r="I15" s="24"/>
      <c r="J15" s="25"/>
      <c r="K15" s="11" t="s">
        <v>0</v>
      </c>
    </row>
    <row r="16" ht="25.0" customHeight="true">
      <c r="A16" t="s" s="35">
        <v>31</v>
      </c>
      <c r="B16" t="s" s="34">
        <v>32</v>
      </c>
      <c r="J16" s="41"/>
      <c r="K16" t="n" s="37">
        <v>14.0</v>
      </c>
    </row>
    <row r="17" ht="25.0" customHeight="true">
      <c r="A17" t="s" s="35">
        <v>33</v>
      </c>
      <c r="B17" t="s" s="34">
        <v>34</v>
      </c>
      <c r="J17" s="41"/>
      <c r="K17" t="n" s="37">
        <v>13.0</v>
      </c>
    </row>
    <row r="18" ht="25.0" customHeight="true">
      <c r="A18" t="s" s="35">
        <v>35</v>
      </c>
      <c r="B18" t="s" s="34">
        <v>36</v>
      </c>
      <c r="J18" s="41"/>
      <c r="K18" t="n" s="37">
        <v>13.0</v>
      </c>
    </row>
    <row r="19" ht="25.0" customHeight="true">
      <c r="A19" t="s" s="35">
        <v>37</v>
      </c>
      <c r="B19" t="s" s="34">
        <v>38</v>
      </c>
      <c r="J19" s="41"/>
      <c r="K19" t="n" s="37">
        <v>15.0</v>
      </c>
    </row>
    <row r="20" ht="25.0" customHeight="true">
      <c r="A20" t="s" s="35">
        <v>39</v>
      </c>
      <c r="B20" t="s" s="34">
        <v>40</v>
      </c>
      <c r="J20" s="41"/>
      <c r="K20" t="n" s="37">
        <v>15.0</v>
      </c>
    </row>
    <row r="21" ht="25.0" customHeight="true">
      <c r="A21" t="s" s="35">
        <v>41</v>
      </c>
      <c r="B21" t="s" s="34">
        <v>42</v>
      </c>
      <c r="J21" s="41"/>
      <c r="K21" t="n" s="37">
        <v>15.0</v>
      </c>
    </row>
    <row r="22" ht="25.0" customHeight="true">
      <c r="A22" t="s" s="35">
        <v>43</v>
      </c>
      <c r="B22" t="s" s="34">
        <v>44</v>
      </c>
      <c r="J22" s="41"/>
      <c r="K22" t="n" s="37">
        <v>15.0</v>
      </c>
    </row>
    <row r="23" ht="25.0" customHeight="true">
      <c r="A23" t="s" s="35">
        <v>45</v>
      </c>
      <c r="B23" s="34"/>
      <c r="J23" s="41"/>
      <c r="K23" s="37"/>
    </row>
    <row r="24" ht="25.0" customHeight="true">
      <c r="A24" t="s" s="39">
        <v>46</v>
      </c>
      <c r="B24" s="38"/>
      <c r="C24" s="42"/>
      <c r="D24" s="42"/>
      <c r="E24" s="42"/>
      <c r="F24" s="42"/>
      <c r="G24" s="42"/>
      <c r="H24" s="42"/>
      <c r="I24" s="42"/>
      <c r="J24" s="43"/>
      <c r="K24" s="40"/>
    </row>
    <row r="25" spans="1:14" ht="20" customHeight="1" x14ac:dyDescent="0.15">
      <c r="F25" s="8"/>
      <c r="G25" s="9"/>
      <c r="H25" s="9"/>
      <c r="I25" s="9"/>
      <c r="J25" s="3"/>
    </row>
    <row r="26" spans="1:14" ht="20" customHeight="1" thickBot="1" x14ac:dyDescent="0.2">
      <c r="C26" s="3"/>
      <c r="H26" s="3"/>
      <c r="I26" s="3"/>
      <c r="J26" s="3"/>
    </row>
    <row r="27" spans="1:14" ht="71" thickBot="1" x14ac:dyDescent="0.2">
      <c r="A27" s="4" t="s">
        <v>15</v>
      </c>
      <c r="B27" s="4" t="s">
        <v>16</v>
      </c>
      <c r="C27" s="4" t="s">
        <v>10</v>
      </c>
      <c r="D27" s="4" t="s">
        <v>6</v>
      </c>
      <c r="E27" s="4" t="s">
        <v>1</v>
      </c>
      <c r="F27" s="4" t="s">
        <v>2</v>
      </c>
      <c r="G27" s="4" t="s">
        <v>8</v>
      </c>
      <c r="H27" s="4" t="s">
        <v>9</v>
      </c>
      <c r="I27" s="4" t="s">
        <v>23</v>
      </c>
      <c r="J27" s="4" t="s">
        <v>11</v>
      </c>
      <c r="K27" s="4" t="s">
        <v>3</v>
      </c>
      <c r="L27" s="5" t="s">
        <v>7</v>
      </c>
      <c r="M27" s="6" t="s">
        <v>4</v>
      </c>
      <c r="N27" s="7">
        <f>SUM(K28:K56)</f>
      </c>
    </row>
    <row r="28">
      <c r="A28" s="35" t="s">
        <v>47</v>
      </c>
      <c r="B28" s="34" t="s">
        <v>48</v>
      </c>
      <c r="C28" s="35" t="s">
        <v>50</v>
      </c>
      <c r="D28" s="34" t="s">
        <v>49</v>
      </c>
      <c r="E28" s="34" t="s">
        <v>49</v>
      </c>
      <c r="F28" s="34" t="s">
        <v>49</v>
      </c>
      <c r="G28" s="34" t="s">
        <v>49</v>
      </c>
      <c r="H28" s="34" t="s">
        <v>49</v>
      </c>
      <c r="I28" s="34" t="s">
        <v>49</v>
      </c>
      <c r="J28" s="34" t="s">
        <v>49</v>
      </c>
      <c r="K28" s="34" t="s">
        <v>49</v>
      </c>
    </row>
    <row r="29">
      <c r="A29" s="35" t="s">
        <v>49</v>
      </c>
      <c r="B29" s="34" t="s">
        <v>49</v>
      </c>
      <c r="C29" s="35" t="s">
        <v>49</v>
      </c>
      <c r="D29" s="35" t="s">
        <v>53</v>
      </c>
      <c r="E29" s="34" t="s">
        <v>54</v>
      </c>
      <c r="F29" s="35" t="s">
        <v>49</v>
      </c>
      <c r="G29" s="34" t="s">
        <v>55</v>
      </c>
      <c r="H29" s="34" t="s">
        <v>49</v>
      </c>
      <c r="I29" s="35" t="n">
        <v>1.0</v>
      </c>
      <c r="J29" s="35" t="n">
        <v>1.0</v>
      </c>
      <c r="K29" s="37" t="n">
        <v>0.2</v>
      </c>
    </row>
    <row r="30">
      <c r="A30" s="35" t="s">
        <v>49</v>
      </c>
      <c r="B30" s="34" t="s">
        <v>49</v>
      </c>
      <c r="C30" s="35" t="s">
        <v>49</v>
      </c>
      <c r="D30" s="35" t="s">
        <v>53</v>
      </c>
      <c r="E30" s="34" t="s">
        <v>56</v>
      </c>
      <c r="F30" s="35" t="s">
        <v>49</v>
      </c>
      <c r="G30" s="34" t="s">
        <v>57</v>
      </c>
      <c r="H30" s="34" t="s">
        <v>49</v>
      </c>
      <c r="I30" s="35" t="n">
        <v>1.0</v>
      </c>
      <c r="J30" s="35" t="n">
        <v>1.0</v>
      </c>
      <c r="K30" s="37" t="n">
        <v>0.2</v>
      </c>
    </row>
    <row r="31">
      <c r="A31" s="35" t="s">
        <v>49</v>
      </c>
      <c r="B31" s="34" t="s">
        <v>49</v>
      </c>
      <c r="C31" s="35" t="s">
        <v>49</v>
      </c>
      <c r="D31" s="35" t="s">
        <v>53</v>
      </c>
      <c r="E31" s="34" t="s">
        <v>58</v>
      </c>
      <c r="F31" s="35" t="s">
        <v>49</v>
      </c>
      <c r="G31" s="34" t="s">
        <v>59</v>
      </c>
      <c r="H31" s="34" t="s">
        <v>49</v>
      </c>
      <c r="I31" s="35" t="n">
        <v>1.0</v>
      </c>
      <c r="J31" s="35" t="n">
        <v>1.0</v>
      </c>
      <c r="K31" s="37" t="n">
        <v>0.1</v>
      </c>
    </row>
    <row r="32">
      <c r="A32" s="35" t="s">
        <v>60</v>
      </c>
      <c r="B32" s="34" t="s">
        <v>61</v>
      </c>
      <c r="C32" s="35" t="s">
        <v>50</v>
      </c>
      <c r="D32" s="34" t="s">
        <v>49</v>
      </c>
      <c r="E32" s="34" t="s">
        <v>49</v>
      </c>
      <c r="F32" s="34" t="s">
        <v>49</v>
      </c>
      <c r="G32" s="34" t="s">
        <v>49</v>
      </c>
      <c r="H32" s="34" t="s">
        <v>49</v>
      </c>
      <c r="I32" s="34" t="s">
        <v>49</v>
      </c>
      <c r="J32" s="34" t="s">
        <v>49</v>
      </c>
      <c r="K32" s="34" t="s">
        <v>49</v>
      </c>
    </row>
    <row r="33">
      <c r="A33" s="35" t="s">
        <v>49</v>
      </c>
      <c r="B33" s="34" t="s">
        <v>49</v>
      </c>
      <c r="C33" s="35" t="s">
        <v>49</v>
      </c>
      <c r="D33" s="35" t="s">
        <v>53</v>
      </c>
      <c r="E33" s="34" t="s">
        <v>62</v>
      </c>
      <c r="F33" s="35" t="s">
        <v>49</v>
      </c>
      <c r="G33" s="34" t="s">
        <v>64</v>
      </c>
      <c r="H33" s="34" t="s">
        <v>63</v>
      </c>
      <c r="I33" s="35" t="n">
        <v>2.0</v>
      </c>
      <c r="J33" s="35" t="n">
        <v>1.0</v>
      </c>
      <c r="K33" s="37" t="n">
        <v>0.5</v>
      </c>
    </row>
    <row r="34">
      <c r="A34" s="35" t="s">
        <v>65</v>
      </c>
      <c r="B34" s="34" t="s">
        <v>66</v>
      </c>
      <c r="C34" s="35" t="s">
        <v>50</v>
      </c>
      <c r="D34" s="34" t="s">
        <v>49</v>
      </c>
      <c r="E34" s="34" t="s">
        <v>49</v>
      </c>
      <c r="F34" s="34" t="s">
        <v>49</v>
      </c>
      <c r="G34" s="34" t="s">
        <v>49</v>
      </c>
      <c r="H34" s="34" t="s">
        <v>49</v>
      </c>
      <c r="I34" s="34" t="s">
        <v>49</v>
      </c>
      <c r="J34" s="34" t="s">
        <v>49</v>
      </c>
      <c r="K34" s="34" t="s">
        <v>49</v>
      </c>
    </row>
    <row r="35">
      <c r="A35" s="35" t="s">
        <v>49</v>
      </c>
      <c r="B35" s="34" t="s">
        <v>49</v>
      </c>
      <c r="C35" s="35" t="s">
        <v>49</v>
      </c>
      <c r="D35" s="35" t="s">
        <v>53</v>
      </c>
      <c r="E35" s="34" t="s">
        <v>67</v>
      </c>
      <c r="F35" s="35" t="s">
        <v>49</v>
      </c>
      <c r="G35" s="34" t="s">
        <v>69</v>
      </c>
      <c r="H35" s="34" t="s">
        <v>68</v>
      </c>
      <c r="I35" s="35" t="n">
        <v>4.0</v>
      </c>
      <c r="J35" s="35" t="n">
        <v>1.0</v>
      </c>
      <c r="K35" s="37" t="n">
        <v>1.0</v>
      </c>
    </row>
    <row r="36">
      <c r="A36" s="35" t="s">
        <v>70</v>
      </c>
      <c r="B36" s="34" t="s">
        <v>71</v>
      </c>
      <c r="C36" s="35" t="s">
        <v>50</v>
      </c>
      <c r="D36" s="34" t="s">
        <v>49</v>
      </c>
      <c r="E36" s="34" t="s">
        <v>49</v>
      </c>
      <c r="F36" s="34" t="s">
        <v>49</v>
      </c>
      <c r="G36" s="34" t="s">
        <v>49</v>
      </c>
      <c r="H36" s="34" t="s">
        <v>49</v>
      </c>
      <c r="I36" s="34" t="s">
        <v>49</v>
      </c>
      <c r="J36" s="34" t="s">
        <v>49</v>
      </c>
      <c r="K36" s="34" t="s">
        <v>49</v>
      </c>
    </row>
    <row r="37">
      <c r="A37" s="35" t="s">
        <v>49</v>
      </c>
      <c r="B37" s="34" t="s">
        <v>49</v>
      </c>
      <c r="C37" s="35" t="s">
        <v>49</v>
      </c>
      <c r="D37" s="35" t="s">
        <v>53</v>
      </c>
      <c r="E37" s="34" t="s">
        <v>76</v>
      </c>
      <c r="F37" s="35" t="s">
        <v>49</v>
      </c>
      <c r="G37" s="34" t="s">
        <v>78</v>
      </c>
      <c r="H37" s="34" t="s">
        <v>77</v>
      </c>
      <c r="I37" s="35" t="n">
        <v>3.0</v>
      </c>
      <c r="J37" s="35" t="n">
        <v>2.0</v>
      </c>
      <c r="K37" s="37" t="n">
        <v>1.0</v>
      </c>
    </row>
    <row r="38">
      <c r="A38" s="35" t="s">
        <v>79</v>
      </c>
      <c r="B38" s="34" t="s">
        <v>80</v>
      </c>
      <c r="C38" s="35" t="s">
        <v>50</v>
      </c>
      <c r="D38" s="34" t="s">
        <v>49</v>
      </c>
      <c r="E38" s="34" t="s">
        <v>49</v>
      </c>
      <c r="F38" s="34" t="s">
        <v>49</v>
      </c>
      <c r="G38" s="34" t="s">
        <v>49</v>
      </c>
      <c r="H38" s="34" t="s">
        <v>49</v>
      </c>
      <c r="I38" s="34" t="s">
        <v>49</v>
      </c>
      <c r="J38" s="34" t="s">
        <v>49</v>
      </c>
      <c r="K38" s="34" t="s">
        <v>49</v>
      </c>
    </row>
    <row r="39">
      <c r="A39" s="35" t="s">
        <v>49</v>
      </c>
      <c r="B39" s="34" t="s">
        <v>49</v>
      </c>
      <c r="C39" s="35" t="s">
        <v>49</v>
      </c>
      <c r="D39" s="35" t="s">
        <v>53</v>
      </c>
      <c r="E39" s="34" t="s">
        <v>81</v>
      </c>
      <c r="F39" s="35" t="s">
        <v>49</v>
      </c>
      <c r="G39" s="34" t="s">
        <v>83</v>
      </c>
      <c r="H39" s="34" t="s">
        <v>82</v>
      </c>
      <c r="I39" s="35" t="n">
        <v>5.0</v>
      </c>
      <c r="J39" s="35" t="n">
        <v>2.0</v>
      </c>
      <c r="K39" s="37" t="n">
        <v>0.5</v>
      </c>
    </row>
    <row r="40">
      <c r="A40" s="35" t="s">
        <v>49</v>
      </c>
      <c r="B40" s="34" t="s">
        <v>49</v>
      </c>
      <c r="C40" s="35" t="s">
        <v>49</v>
      </c>
      <c r="D40" s="35" t="s">
        <v>53</v>
      </c>
      <c r="E40" s="34" t="s">
        <v>87</v>
      </c>
      <c r="F40" s="35" t="s">
        <v>49</v>
      </c>
      <c r="G40" s="34" t="s">
        <v>89</v>
      </c>
      <c r="H40" s="34" t="s">
        <v>88</v>
      </c>
      <c r="I40" s="35" t="n">
        <v>5.0</v>
      </c>
      <c r="J40" s="35" t="n">
        <v>3.0</v>
      </c>
      <c r="K40" s="37" t="n">
        <v>0.5</v>
      </c>
    </row>
    <row r="41">
      <c r="A41" s="35" t="s">
        <v>49</v>
      </c>
      <c r="B41" s="34" t="s">
        <v>49</v>
      </c>
      <c r="C41" s="35" t="s">
        <v>49</v>
      </c>
      <c r="D41" s="35" t="s">
        <v>53</v>
      </c>
      <c r="E41" s="34" t="s">
        <v>90</v>
      </c>
      <c r="F41" s="35" t="s">
        <v>49</v>
      </c>
      <c r="G41" s="34" t="s">
        <v>92</v>
      </c>
      <c r="H41" s="34" t="s">
        <v>91</v>
      </c>
      <c r="I41" s="35" t="n">
        <v>5.0</v>
      </c>
      <c r="J41" s="35" t="n">
        <v>2.0</v>
      </c>
      <c r="K41" s="37" t="n">
        <v>0.5</v>
      </c>
    </row>
    <row r="42">
      <c r="A42" s="35" t="s">
        <v>49</v>
      </c>
      <c r="B42" s="34" t="s">
        <v>49</v>
      </c>
      <c r="C42" s="35" t="s">
        <v>49</v>
      </c>
      <c r="D42" s="35" t="s">
        <v>53</v>
      </c>
      <c r="E42" s="34" t="s">
        <v>93</v>
      </c>
      <c r="F42" s="35" t="s">
        <v>49</v>
      </c>
      <c r="G42" s="34" t="s">
        <v>95</v>
      </c>
      <c r="H42" s="34" t="s">
        <v>94</v>
      </c>
      <c r="I42" s="35" t="n">
        <v>5.0</v>
      </c>
      <c r="J42" s="35" t="n">
        <v>3.0</v>
      </c>
      <c r="K42" s="37" t="n">
        <v>0.5</v>
      </c>
    </row>
    <row r="43">
      <c r="A43" s="35" t="s">
        <v>49</v>
      </c>
      <c r="B43" s="34" t="s">
        <v>49</v>
      </c>
      <c r="C43" s="35" t="s">
        <v>49</v>
      </c>
      <c r="D43" s="35" t="s">
        <v>53</v>
      </c>
      <c r="E43" s="34" t="s">
        <v>96</v>
      </c>
      <c r="F43" s="35" t="s">
        <v>49</v>
      </c>
      <c r="G43" s="34" t="s">
        <v>98</v>
      </c>
      <c r="H43" s="34" t="s">
        <v>97</v>
      </c>
      <c r="I43" s="35" t="n">
        <v>5.0</v>
      </c>
      <c r="J43" s="35" t="n">
        <v>2.0</v>
      </c>
      <c r="K43" s="37" t="n">
        <v>0.5</v>
      </c>
    </row>
    <row r="44">
      <c r="A44" s="35" t="s">
        <v>49</v>
      </c>
      <c r="B44" s="34" t="s">
        <v>49</v>
      </c>
      <c r="C44" s="35" t="s">
        <v>49</v>
      </c>
      <c r="D44" s="35" t="s">
        <v>53</v>
      </c>
      <c r="E44" s="34" t="s">
        <v>102</v>
      </c>
      <c r="F44" s="35" t="s">
        <v>49</v>
      </c>
      <c r="G44" s="34" t="s">
        <v>104</v>
      </c>
      <c r="H44" s="34" t="s">
        <v>103</v>
      </c>
      <c r="I44" s="35" t="n">
        <v>5.0</v>
      </c>
      <c r="J44" s="35" t="n">
        <v>4.0</v>
      </c>
      <c r="K44" s="37" t="n">
        <v>0.5</v>
      </c>
    </row>
    <row r="45">
      <c r="A45" s="35" t="s">
        <v>49</v>
      </c>
      <c r="B45" s="34" t="s">
        <v>49</v>
      </c>
      <c r="C45" s="35" t="s">
        <v>49</v>
      </c>
      <c r="D45" s="35" t="s">
        <v>53</v>
      </c>
      <c r="E45" s="34" t="s">
        <v>108</v>
      </c>
      <c r="F45" s="35" t="s">
        <v>49</v>
      </c>
      <c r="G45" s="34" t="s">
        <v>110</v>
      </c>
      <c r="H45" s="34" t="s">
        <v>109</v>
      </c>
      <c r="I45" s="35" t="n">
        <v>5.0</v>
      </c>
      <c r="J45" s="35" t="n">
        <v>5.0</v>
      </c>
      <c r="K45" s="37" t="n">
        <v>0.5</v>
      </c>
    </row>
    <row r="46">
      <c r="A46" s="35" t="s">
        <v>49</v>
      </c>
      <c r="B46" s="34" t="s">
        <v>49</v>
      </c>
      <c r="C46" s="35" t="s">
        <v>49</v>
      </c>
      <c r="D46" s="35" t="s">
        <v>53</v>
      </c>
      <c r="E46" s="34" t="s">
        <v>114</v>
      </c>
      <c r="F46" s="35" t="s">
        <v>49</v>
      </c>
      <c r="G46" s="34" t="s">
        <v>116</v>
      </c>
      <c r="H46" s="34" t="s">
        <v>115</v>
      </c>
      <c r="I46" s="35" t="n">
        <v>5.0</v>
      </c>
      <c r="J46" s="35" t="n">
        <v>6.0</v>
      </c>
      <c r="K46" s="37" t="n">
        <v>1.0</v>
      </c>
    </row>
    <row r="47">
      <c r="A47" s="35" t="s">
        <v>49</v>
      </c>
      <c r="B47" s="34" t="s">
        <v>49</v>
      </c>
      <c r="C47" s="35" t="s">
        <v>49</v>
      </c>
      <c r="D47" s="35" t="s">
        <v>53</v>
      </c>
      <c r="E47" s="34" t="s">
        <v>117</v>
      </c>
      <c r="F47" s="35" t="s">
        <v>49</v>
      </c>
      <c r="G47" s="34" t="s">
        <v>119</v>
      </c>
      <c r="H47" s="34" t="s">
        <v>118</v>
      </c>
      <c r="I47" s="35" t="n">
        <v>5.0</v>
      </c>
      <c r="J47" s="35" t="n">
        <v>2.0</v>
      </c>
      <c r="K47" s="37" t="n">
        <v>0.5</v>
      </c>
    </row>
    <row r="48">
      <c r="A48" s="35" t="s">
        <v>49</v>
      </c>
      <c r="B48" s="34" t="s">
        <v>49</v>
      </c>
      <c r="C48" s="35" t="s">
        <v>49</v>
      </c>
      <c r="D48" s="35" t="s">
        <v>53</v>
      </c>
      <c r="E48" s="34" t="s">
        <v>120</v>
      </c>
      <c r="F48" s="35" t="s">
        <v>49</v>
      </c>
      <c r="G48" s="34" t="s">
        <v>122</v>
      </c>
      <c r="H48" s="34" t="s">
        <v>121</v>
      </c>
      <c r="I48" s="35" t="n">
        <v>5.0</v>
      </c>
      <c r="J48" s="35" t="n">
        <v>6.0</v>
      </c>
      <c r="K48" s="37" t="n">
        <v>1.0</v>
      </c>
    </row>
    <row r="49">
      <c r="A49" s="35" t="s">
        <v>49</v>
      </c>
      <c r="B49" s="34" t="s">
        <v>49</v>
      </c>
      <c r="C49" s="35" t="s">
        <v>49</v>
      </c>
      <c r="D49" s="35" t="s">
        <v>53</v>
      </c>
      <c r="E49" s="34" t="s">
        <v>123</v>
      </c>
      <c r="F49" s="35" t="s">
        <v>49</v>
      </c>
      <c r="G49" s="34" t="s">
        <v>125</v>
      </c>
      <c r="H49" s="34" t="s">
        <v>124</v>
      </c>
      <c r="I49" s="35" t="n">
        <v>5.0</v>
      </c>
      <c r="J49" s="35" t="n">
        <v>5.0</v>
      </c>
      <c r="K49" s="37" t="n">
        <v>0.5</v>
      </c>
    </row>
    <row r="50">
      <c r="A50" s="35" t="s">
        <v>49</v>
      </c>
      <c r="B50" s="34" t="s">
        <v>49</v>
      </c>
      <c r="C50" s="35" t="s">
        <v>49</v>
      </c>
      <c r="D50" s="35" t="s">
        <v>53</v>
      </c>
      <c r="E50" s="34" t="s">
        <v>126</v>
      </c>
      <c r="F50" s="35" t="s">
        <v>49</v>
      </c>
      <c r="G50" s="34" t="s">
        <v>128</v>
      </c>
      <c r="H50" s="34" t="s">
        <v>127</v>
      </c>
      <c r="I50" s="35" t="n">
        <v>5.0</v>
      </c>
      <c r="J50" s="35" t="n">
        <v>2.0</v>
      </c>
      <c r="K50" s="37" t="n">
        <v>0.5</v>
      </c>
    </row>
    <row r="51">
      <c r="A51" s="35" t="s">
        <v>49</v>
      </c>
      <c r="B51" s="34" t="s">
        <v>49</v>
      </c>
      <c r="C51" s="35" t="s">
        <v>49</v>
      </c>
      <c r="D51" s="35" t="s">
        <v>53</v>
      </c>
      <c r="E51" s="34" t="s">
        <v>129</v>
      </c>
      <c r="F51" s="35" t="s">
        <v>49</v>
      </c>
      <c r="G51" s="34" t="s">
        <v>131</v>
      </c>
      <c r="H51" s="34" t="s">
        <v>130</v>
      </c>
      <c r="I51" s="35" t="n">
        <v>5.0</v>
      </c>
      <c r="J51" s="35" t="n">
        <v>6.0</v>
      </c>
      <c r="K51" s="37" t="n">
        <v>0.5</v>
      </c>
    </row>
    <row r="52">
      <c r="A52" s="35" t="s">
        <v>49</v>
      </c>
      <c r="B52" s="34" t="s">
        <v>49</v>
      </c>
      <c r="C52" s="35" t="s">
        <v>49</v>
      </c>
      <c r="D52" s="35" t="s">
        <v>53</v>
      </c>
      <c r="E52" s="34" t="s">
        <v>132</v>
      </c>
      <c r="F52" s="35" t="s">
        <v>49</v>
      </c>
      <c r="G52" s="34" t="s">
        <v>134</v>
      </c>
      <c r="H52" s="34" t="s">
        <v>133</v>
      </c>
      <c r="I52" s="35" t="n">
        <v>5.0</v>
      </c>
      <c r="J52" s="35" t="n">
        <v>6.0</v>
      </c>
      <c r="K52" s="37" t="n">
        <v>0.5</v>
      </c>
    </row>
    <row r="53">
      <c r="A53" s="35" t="s">
        <v>49</v>
      </c>
      <c r="B53" s="34" t="s">
        <v>49</v>
      </c>
      <c r="C53" s="35" t="s">
        <v>49</v>
      </c>
      <c r="D53" s="35" t="s">
        <v>53</v>
      </c>
      <c r="E53" s="34" t="s">
        <v>135</v>
      </c>
      <c r="F53" s="35" t="s">
        <v>49</v>
      </c>
      <c r="G53" s="34" t="s">
        <v>137</v>
      </c>
      <c r="H53" s="34" t="s">
        <v>136</v>
      </c>
      <c r="I53" s="35" t="n">
        <v>5.0</v>
      </c>
      <c r="J53" s="35" t="n">
        <v>2.0</v>
      </c>
      <c r="K53" s="37" t="n">
        <v>1.0</v>
      </c>
    </row>
    <row r="54">
      <c r="A54" s="35" t="s">
        <v>49</v>
      </c>
      <c r="B54" s="34" t="s">
        <v>49</v>
      </c>
      <c r="C54" s="35" t="s">
        <v>49</v>
      </c>
      <c r="D54" s="35" t="s">
        <v>53</v>
      </c>
      <c r="E54" s="34" t="s">
        <v>138</v>
      </c>
      <c r="F54" s="35" t="s">
        <v>49</v>
      </c>
      <c r="G54" s="34" t="s">
        <v>140</v>
      </c>
      <c r="H54" s="34" t="s">
        <v>139</v>
      </c>
      <c r="I54" s="35" t="n">
        <v>5.0</v>
      </c>
      <c r="J54" s="35" t="n">
        <v>6.0</v>
      </c>
      <c r="K54" s="37" t="n">
        <v>2.0</v>
      </c>
    </row>
    <row r="55">
      <c r="A55" s="35" t="s">
        <v>49</v>
      </c>
      <c r="B55" s="34" t="s">
        <v>49</v>
      </c>
      <c r="C55" s="35" t="s">
        <v>49</v>
      </c>
      <c r="D55" s="35" t="s">
        <v>49</v>
      </c>
      <c r="E55" s="34" t="s">
        <v>49</v>
      </c>
      <c r="F55" s="35" t="s">
        <v>49</v>
      </c>
      <c r="G55" s="34" t="s">
        <v>49</v>
      </c>
      <c r="H55" s="34" t="s">
        <v>49</v>
      </c>
      <c r="I55" s="35"/>
      <c r="J55" s="35"/>
      <c r="K55" s="37"/>
    </row>
    <row r="56">
      <c r="A56" s="35" t="s">
        <v>49</v>
      </c>
      <c r="B56" s="34" t="s">
        <v>49</v>
      </c>
      <c r="C56" s="35" t="s">
        <v>49</v>
      </c>
      <c r="D56" s="35" t="s">
        <v>49</v>
      </c>
      <c r="E56" s="34" t="s">
        <v>49</v>
      </c>
      <c r="F56" s="35" t="s">
        <v>49</v>
      </c>
      <c r="G56" s="34" t="s">
        <v>49</v>
      </c>
      <c r="H56" s="34" t="s">
        <v>49</v>
      </c>
      <c r="I56" s="35"/>
      <c r="J56" s="35"/>
      <c r="K56" s="37"/>
    </row>
    <row r="57">
      <c r="A57" s="44" t="s">
        <v>15</v>
      </c>
      <c r="B57" s="45" t="s">
        <v>16</v>
      </c>
      <c r="C57" s="46" t="s">
        <v>10</v>
      </c>
      <c r="D57" s="47" t="s">
        <v>6</v>
      </c>
      <c r="E57" s="48" t="s">
        <v>1</v>
      </c>
      <c r="F57" s="49" t="s">
        <v>2</v>
      </c>
      <c r="G57" s="50" t="s">
        <v>8</v>
      </c>
      <c r="H57" s="51" t="s">
        <v>9</v>
      </c>
      <c r="I57" s="52" t="s">
        <v>23</v>
      </c>
      <c r="J57" s="53" t="s">
        <v>11</v>
      </c>
      <c r="K57" s="54" t="s">
        <v>3</v>
      </c>
      <c r="L57" s="55" t="s">
        <v>141</v>
      </c>
      <c r="M57" s="56" t="s">
        <v>4</v>
      </c>
      <c r="N57" s="57">
        <f>SUM(K58:K90)</f>
      </c>
    </row>
    <row r="58">
      <c r="A58" s="35" t="s">
        <v>142</v>
      </c>
      <c r="B58" s="34" t="s">
        <v>143</v>
      </c>
      <c r="C58" s="35" t="s">
        <v>50</v>
      </c>
      <c r="D58" s="34" t="s">
        <v>49</v>
      </c>
      <c r="E58" s="34" t="s">
        <v>49</v>
      </c>
      <c r="F58" s="34" t="s">
        <v>49</v>
      </c>
      <c r="G58" s="34" t="s">
        <v>49</v>
      </c>
      <c r="H58" s="34" t="s">
        <v>49</v>
      </c>
      <c r="I58" s="34" t="s">
        <v>49</v>
      </c>
      <c r="J58" s="34" t="s">
        <v>49</v>
      </c>
      <c r="K58" s="34" t="s">
        <v>49</v>
      </c>
    </row>
    <row r="59">
      <c r="A59" s="35" t="s">
        <v>49</v>
      </c>
      <c r="B59" s="34" t="s">
        <v>49</v>
      </c>
      <c r="C59" s="35" t="s">
        <v>49</v>
      </c>
      <c r="D59" s="35" t="s">
        <v>53</v>
      </c>
      <c r="E59" s="34" t="s">
        <v>144</v>
      </c>
      <c r="F59" s="35" t="s">
        <v>49</v>
      </c>
      <c r="G59" s="34" t="s">
        <v>55</v>
      </c>
      <c r="H59" s="34" t="s">
        <v>49</v>
      </c>
      <c r="I59" s="35" t="n">
        <v>1.0</v>
      </c>
      <c r="J59" s="35" t="n">
        <v>1.0</v>
      </c>
      <c r="K59" s="37" t="n">
        <v>0.3</v>
      </c>
    </row>
    <row r="60">
      <c r="A60" s="35" t="s">
        <v>49</v>
      </c>
      <c r="B60" s="34" t="s">
        <v>49</v>
      </c>
      <c r="C60" s="35" t="s">
        <v>49</v>
      </c>
      <c r="D60" s="35" t="s">
        <v>53</v>
      </c>
      <c r="E60" s="34" t="s">
        <v>145</v>
      </c>
      <c r="F60" s="35" t="s">
        <v>49</v>
      </c>
      <c r="G60" s="34" t="s">
        <v>146</v>
      </c>
      <c r="H60" s="34" t="s">
        <v>49</v>
      </c>
      <c r="I60" s="35" t="n">
        <v>1.0</v>
      </c>
      <c r="J60" s="35" t="n">
        <v>1.0</v>
      </c>
      <c r="K60" s="37" t="n">
        <v>0.2</v>
      </c>
    </row>
    <row r="61">
      <c r="A61" s="35" t="s">
        <v>147</v>
      </c>
      <c r="B61" s="34" t="s">
        <v>148</v>
      </c>
      <c r="C61" s="35" t="s">
        <v>50</v>
      </c>
      <c r="D61" s="34" t="s">
        <v>49</v>
      </c>
      <c r="E61" s="34" t="s">
        <v>49</v>
      </c>
      <c r="F61" s="34" t="s">
        <v>49</v>
      </c>
      <c r="G61" s="34" t="s">
        <v>49</v>
      </c>
      <c r="H61" s="34" t="s">
        <v>49</v>
      </c>
      <c r="I61" s="34" t="s">
        <v>49</v>
      </c>
      <c r="J61" s="34" t="s">
        <v>49</v>
      </c>
      <c r="K61" s="34" t="s">
        <v>49</v>
      </c>
    </row>
    <row r="62">
      <c r="A62" s="35" t="s">
        <v>49</v>
      </c>
      <c r="B62" s="34" t="s">
        <v>49</v>
      </c>
      <c r="C62" s="35" t="s">
        <v>49</v>
      </c>
      <c r="D62" s="35" t="s">
        <v>53</v>
      </c>
      <c r="E62" s="34" t="s">
        <v>62</v>
      </c>
      <c r="F62" s="35" t="s">
        <v>49</v>
      </c>
      <c r="G62" s="34" t="s">
        <v>64</v>
      </c>
      <c r="H62" s="34" t="s">
        <v>63</v>
      </c>
      <c r="I62" s="35" t="n">
        <v>2.0</v>
      </c>
      <c r="J62" s="35" t="n">
        <v>1.0</v>
      </c>
      <c r="K62" s="37" t="n">
        <v>0.5</v>
      </c>
    </row>
    <row r="63">
      <c r="A63" s="35" t="s">
        <v>149</v>
      </c>
      <c r="B63" s="34" t="s">
        <v>150</v>
      </c>
      <c r="C63" s="35" t="s">
        <v>50</v>
      </c>
      <c r="D63" s="34" t="s">
        <v>49</v>
      </c>
      <c r="E63" s="34" t="s">
        <v>49</v>
      </c>
      <c r="F63" s="34" t="s">
        <v>49</v>
      </c>
      <c r="G63" s="34" t="s">
        <v>49</v>
      </c>
      <c r="H63" s="34" t="s">
        <v>49</v>
      </c>
      <c r="I63" s="34" t="s">
        <v>49</v>
      </c>
      <c r="J63" s="34" t="s">
        <v>49</v>
      </c>
      <c r="K63" s="34" t="s">
        <v>49</v>
      </c>
    </row>
    <row r="64">
      <c r="A64" s="35" t="s">
        <v>49</v>
      </c>
      <c r="B64" s="34" t="s">
        <v>49</v>
      </c>
      <c r="C64" s="35" t="s">
        <v>49</v>
      </c>
      <c r="D64" s="35" t="s">
        <v>53</v>
      </c>
      <c r="E64" s="34" t="s">
        <v>67</v>
      </c>
      <c r="F64" s="35" t="s">
        <v>49</v>
      </c>
      <c r="G64" s="34" t="s">
        <v>69</v>
      </c>
      <c r="H64" s="34" t="s">
        <v>68</v>
      </c>
      <c r="I64" s="35" t="n">
        <v>5.0</v>
      </c>
      <c r="J64" s="35" t="n">
        <v>1.0</v>
      </c>
      <c r="K64" s="37" t="n">
        <v>0.5</v>
      </c>
    </row>
    <row r="65">
      <c r="A65" s="35" t="s">
        <v>151</v>
      </c>
      <c r="B65" s="34" t="s">
        <v>152</v>
      </c>
      <c r="C65" s="35" t="s">
        <v>50</v>
      </c>
      <c r="D65" s="34" t="s">
        <v>49</v>
      </c>
      <c r="E65" s="34" t="s">
        <v>49</v>
      </c>
      <c r="F65" s="34" t="s">
        <v>49</v>
      </c>
      <c r="G65" s="34" t="s">
        <v>49</v>
      </c>
      <c r="H65" s="34" t="s">
        <v>49</v>
      </c>
      <c r="I65" s="34" t="s">
        <v>49</v>
      </c>
      <c r="J65" s="34" t="s">
        <v>49</v>
      </c>
      <c r="K65" s="34" t="s">
        <v>49</v>
      </c>
    </row>
    <row r="66">
      <c r="A66" s="35" t="s">
        <v>49</v>
      </c>
      <c r="B66" s="34" t="s">
        <v>49</v>
      </c>
      <c r="C66" s="35" t="s">
        <v>49</v>
      </c>
      <c r="D66" s="35" t="s">
        <v>53</v>
      </c>
      <c r="E66" s="34" t="s">
        <v>153</v>
      </c>
      <c r="F66" s="35" t="s">
        <v>49</v>
      </c>
      <c r="G66" s="34" t="s">
        <v>155</v>
      </c>
      <c r="H66" s="34" t="s">
        <v>154</v>
      </c>
      <c r="I66" s="35" t="n">
        <v>4.0</v>
      </c>
      <c r="J66" s="35" t="n">
        <v>4.0</v>
      </c>
      <c r="K66" s="37" t="n">
        <v>0.5</v>
      </c>
    </row>
    <row r="67">
      <c r="A67" s="35" t="s">
        <v>156</v>
      </c>
      <c r="B67" s="34" t="s">
        <v>157</v>
      </c>
      <c r="C67" s="35" t="s">
        <v>50</v>
      </c>
      <c r="D67" s="34" t="s">
        <v>49</v>
      </c>
      <c r="E67" s="34" t="s">
        <v>49</v>
      </c>
      <c r="F67" s="34" t="s">
        <v>49</v>
      </c>
      <c r="G67" s="34" t="s">
        <v>49</v>
      </c>
      <c r="H67" s="34" t="s">
        <v>49</v>
      </c>
      <c r="I67" s="34" t="s">
        <v>49</v>
      </c>
      <c r="J67" s="34" t="s">
        <v>49</v>
      </c>
      <c r="K67" s="34" t="s">
        <v>49</v>
      </c>
    </row>
    <row r="68">
      <c r="A68" s="35" t="s">
        <v>49</v>
      </c>
      <c r="B68" s="34" t="s">
        <v>49</v>
      </c>
      <c r="C68" s="35" t="s">
        <v>49</v>
      </c>
      <c r="D68" s="35" t="s">
        <v>53</v>
      </c>
      <c r="E68" s="34" t="s">
        <v>158</v>
      </c>
      <c r="F68" s="35" t="s">
        <v>49</v>
      </c>
      <c r="G68" s="34" t="s">
        <v>160</v>
      </c>
      <c r="H68" s="34" t="s">
        <v>159</v>
      </c>
      <c r="I68" s="35" t="n">
        <v>5.0</v>
      </c>
      <c r="J68" s="35" t="n">
        <v>4.0</v>
      </c>
      <c r="K68" s="37" t="n">
        <v>0.5</v>
      </c>
    </row>
    <row r="69">
      <c r="A69" s="35" t="s">
        <v>49</v>
      </c>
      <c r="B69" s="34" t="s">
        <v>49</v>
      </c>
      <c r="C69" s="35" t="s">
        <v>49</v>
      </c>
      <c r="D69" s="35" t="s">
        <v>53</v>
      </c>
      <c r="E69" s="34" t="s">
        <v>161</v>
      </c>
      <c r="F69" s="35" t="s">
        <v>49</v>
      </c>
      <c r="G69" s="34" t="s">
        <v>163</v>
      </c>
      <c r="H69" s="34" t="s">
        <v>162</v>
      </c>
      <c r="I69" s="35" t="n">
        <v>5.0</v>
      </c>
      <c r="J69" s="35" t="n">
        <v>6.0</v>
      </c>
      <c r="K69" s="37" t="n">
        <v>0.15</v>
      </c>
    </row>
    <row r="70">
      <c r="A70" s="35" t="s">
        <v>49</v>
      </c>
      <c r="B70" s="34" t="s">
        <v>49</v>
      </c>
      <c r="C70" s="35" t="s">
        <v>49</v>
      </c>
      <c r="D70" s="35" t="s">
        <v>53</v>
      </c>
      <c r="E70" s="34" t="s">
        <v>164</v>
      </c>
      <c r="F70" s="35" t="s">
        <v>49</v>
      </c>
      <c r="G70" s="34" t="s">
        <v>166</v>
      </c>
      <c r="H70" s="34" t="s">
        <v>165</v>
      </c>
      <c r="I70" s="35" t="n">
        <v>5.0</v>
      </c>
      <c r="J70" s="35" t="n">
        <v>6.0</v>
      </c>
      <c r="K70" s="37" t="n">
        <v>0.15</v>
      </c>
    </row>
    <row r="71">
      <c r="A71" s="35" t="s">
        <v>49</v>
      </c>
      <c r="B71" s="34" t="s">
        <v>49</v>
      </c>
      <c r="C71" s="35" t="s">
        <v>49</v>
      </c>
      <c r="D71" s="35" t="s">
        <v>53</v>
      </c>
      <c r="E71" s="34" t="s">
        <v>167</v>
      </c>
      <c r="F71" s="35" t="s">
        <v>49</v>
      </c>
      <c r="G71" s="34" t="s">
        <v>169</v>
      </c>
      <c r="H71" s="34" t="s">
        <v>168</v>
      </c>
      <c r="I71" s="35" t="n">
        <v>5.0</v>
      </c>
      <c r="J71" s="35" t="n">
        <v>6.0</v>
      </c>
      <c r="K71" s="37" t="n">
        <v>0.15</v>
      </c>
    </row>
    <row r="72">
      <c r="A72" s="35" t="s">
        <v>49</v>
      </c>
      <c r="B72" s="34" t="s">
        <v>49</v>
      </c>
      <c r="C72" s="35" t="s">
        <v>49</v>
      </c>
      <c r="D72" s="35" t="s">
        <v>53</v>
      </c>
      <c r="E72" s="34" t="s">
        <v>170</v>
      </c>
      <c r="F72" s="35" t="s">
        <v>49</v>
      </c>
      <c r="G72" s="34" t="s">
        <v>172</v>
      </c>
      <c r="H72" s="34" t="s">
        <v>171</v>
      </c>
      <c r="I72" s="35" t="n">
        <v>5.0</v>
      </c>
      <c r="J72" s="35" t="n">
        <v>2.0</v>
      </c>
      <c r="K72" s="37" t="n">
        <v>0.25</v>
      </c>
    </row>
    <row r="73">
      <c r="A73" s="35" t="s">
        <v>49</v>
      </c>
      <c r="B73" s="34" t="s">
        <v>49</v>
      </c>
      <c r="C73" s="35" t="s">
        <v>49</v>
      </c>
      <c r="D73" s="35" t="s">
        <v>53</v>
      </c>
      <c r="E73" s="34" t="s">
        <v>176</v>
      </c>
      <c r="F73" s="35" t="s">
        <v>49</v>
      </c>
      <c r="G73" s="34" t="s">
        <v>178</v>
      </c>
      <c r="H73" s="34" t="s">
        <v>177</v>
      </c>
      <c r="I73" s="35" t="n">
        <v>5.0</v>
      </c>
      <c r="J73" s="35" t="n">
        <v>7.0</v>
      </c>
      <c r="K73" s="37" t="n">
        <v>0.85</v>
      </c>
    </row>
    <row r="74">
      <c r="A74" s="35" t="s">
        <v>49</v>
      </c>
      <c r="B74" s="34" t="s">
        <v>49</v>
      </c>
      <c r="C74" s="35" t="s">
        <v>49</v>
      </c>
      <c r="D74" s="35" t="s">
        <v>53</v>
      </c>
      <c r="E74" s="34" t="s">
        <v>182</v>
      </c>
      <c r="F74" s="35" t="s">
        <v>49</v>
      </c>
      <c r="G74" s="34" t="s">
        <v>184</v>
      </c>
      <c r="H74" s="34" t="s">
        <v>183</v>
      </c>
      <c r="I74" s="35" t="n">
        <v>5.0</v>
      </c>
      <c r="J74" s="35" t="n">
        <v>8.0</v>
      </c>
      <c r="K74" s="37" t="n">
        <v>0.75</v>
      </c>
    </row>
    <row r="75">
      <c r="A75" s="35" t="s">
        <v>49</v>
      </c>
      <c r="B75" s="34" t="s">
        <v>49</v>
      </c>
      <c r="C75" s="35" t="s">
        <v>49</v>
      </c>
      <c r="D75" s="35" t="s">
        <v>53</v>
      </c>
      <c r="E75" s="34" t="s">
        <v>185</v>
      </c>
      <c r="F75" s="35" t="s">
        <v>49</v>
      </c>
      <c r="G75" s="34" t="s">
        <v>187</v>
      </c>
      <c r="H75" s="34" t="s">
        <v>186</v>
      </c>
      <c r="I75" s="35" t="n">
        <v>5.0</v>
      </c>
      <c r="J75" s="35" t="n">
        <v>8.0</v>
      </c>
      <c r="K75" s="37" t="n">
        <v>0.7</v>
      </c>
    </row>
    <row r="76">
      <c r="A76" s="35" t="s">
        <v>49</v>
      </c>
      <c r="B76" s="34" t="s">
        <v>49</v>
      </c>
      <c r="C76" s="35" t="s">
        <v>49</v>
      </c>
      <c r="D76" s="35" t="s">
        <v>53</v>
      </c>
      <c r="E76" s="34" t="s">
        <v>188</v>
      </c>
      <c r="F76" s="35" t="s">
        <v>49</v>
      </c>
      <c r="G76" s="34" t="s">
        <v>190</v>
      </c>
      <c r="H76" s="34" t="s">
        <v>189</v>
      </c>
      <c r="I76" s="35" t="n">
        <v>5.0</v>
      </c>
      <c r="J76" s="35" t="n">
        <v>6.0</v>
      </c>
      <c r="K76" s="37" t="n">
        <v>0.25</v>
      </c>
    </row>
    <row r="77">
      <c r="A77" s="35" t="s">
        <v>49</v>
      </c>
      <c r="B77" s="34" t="s">
        <v>49</v>
      </c>
      <c r="C77" s="35" t="s">
        <v>49</v>
      </c>
      <c r="D77" s="35" t="s">
        <v>53</v>
      </c>
      <c r="E77" s="34" t="s">
        <v>191</v>
      </c>
      <c r="F77" s="35" t="s">
        <v>49</v>
      </c>
      <c r="G77" s="34" t="s">
        <v>193</v>
      </c>
      <c r="H77" s="34" t="s">
        <v>192</v>
      </c>
      <c r="I77" s="35" t="n">
        <v>5.0</v>
      </c>
      <c r="J77" s="35" t="n">
        <v>4.0</v>
      </c>
      <c r="K77" s="37" t="n">
        <v>0.75</v>
      </c>
    </row>
    <row r="78">
      <c r="A78" s="35" t="s">
        <v>49</v>
      </c>
      <c r="B78" s="34" t="s">
        <v>49</v>
      </c>
      <c r="C78" s="35" t="s">
        <v>49</v>
      </c>
      <c r="D78" s="35" t="s">
        <v>53</v>
      </c>
      <c r="E78" s="34" t="s">
        <v>194</v>
      </c>
      <c r="F78" s="35" t="s">
        <v>49</v>
      </c>
      <c r="G78" s="34" t="s">
        <v>196</v>
      </c>
      <c r="H78" s="34" t="s">
        <v>195</v>
      </c>
      <c r="I78" s="35" t="n">
        <v>5.0</v>
      </c>
      <c r="J78" s="35" t="n">
        <v>3.0</v>
      </c>
      <c r="K78" s="37" t="n">
        <v>0.65</v>
      </c>
    </row>
    <row r="79">
      <c r="A79" s="35" t="s">
        <v>49</v>
      </c>
      <c r="B79" s="34" t="s">
        <v>49</v>
      </c>
      <c r="C79" s="35" t="s">
        <v>49</v>
      </c>
      <c r="D79" s="35" t="s">
        <v>53</v>
      </c>
      <c r="E79" s="34" t="s">
        <v>197</v>
      </c>
      <c r="F79" s="35" t="s">
        <v>49</v>
      </c>
      <c r="G79" s="34" t="s">
        <v>199</v>
      </c>
      <c r="H79" s="34" t="s">
        <v>198</v>
      </c>
      <c r="I79" s="35" t="n">
        <v>5.0</v>
      </c>
      <c r="J79" s="35" t="n">
        <v>2.0</v>
      </c>
      <c r="K79" s="37" t="n">
        <v>0.35</v>
      </c>
    </row>
    <row r="80">
      <c r="A80" s="35" t="s">
        <v>49</v>
      </c>
      <c r="B80" s="34" t="s">
        <v>49</v>
      </c>
      <c r="C80" s="35" t="s">
        <v>49</v>
      </c>
      <c r="D80" s="35" t="s">
        <v>53</v>
      </c>
      <c r="E80" s="34" t="s">
        <v>200</v>
      </c>
      <c r="F80" s="35" t="s">
        <v>49</v>
      </c>
      <c r="G80" s="34" t="s">
        <v>202</v>
      </c>
      <c r="H80" s="34" t="s">
        <v>201</v>
      </c>
      <c r="I80" s="35" t="n">
        <v>5.0</v>
      </c>
      <c r="J80" s="35" t="n">
        <v>6.0</v>
      </c>
      <c r="K80" s="37" t="n">
        <v>0.25</v>
      </c>
    </row>
    <row r="81">
      <c r="A81" s="35" t="s">
        <v>49</v>
      </c>
      <c r="B81" s="34" t="s">
        <v>49</v>
      </c>
      <c r="C81" s="35" t="s">
        <v>49</v>
      </c>
      <c r="D81" s="35" t="s">
        <v>53</v>
      </c>
      <c r="E81" s="34" t="s">
        <v>203</v>
      </c>
      <c r="F81" s="35" t="s">
        <v>49</v>
      </c>
      <c r="G81" s="34" t="s">
        <v>205</v>
      </c>
      <c r="H81" s="34" t="s">
        <v>204</v>
      </c>
      <c r="I81" s="35" t="n">
        <v>5.0</v>
      </c>
      <c r="J81" s="35" t="n">
        <v>6.0</v>
      </c>
      <c r="K81" s="37" t="n">
        <v>0.25</v>
      </c>
    </row>
    <row r="82">
      <c r="A82" s="35" t="s">
        <v>49</v>
      </c>
      <c r="B82" s="34" t="s">
        <v>49</v>
      </c>
      <c r="C82" s="35" t="s">
        <v>49</v>
      </c>
      <c r="D82" s="35" t="s">
        <v>53</v>
      </c>
      <c r="E82" s="34" t="s">
        <v>206</v>
      </c>
      <c r="F82" s="35" t="s">
        <v>49</v>
      </c>
      <c r="G82" s="34" t="s">
        <v>208</v>
      </c>
      <c r="H82" s="34" t="s">
        <v>207</v>
      </c>
      <c r="I82" s="35" t="n">
        <v>5.0</v>
      </c>
      <c r="J82" s="35" t="n">
        <v>4.0</v>
      </c>
      <c r="K82" s="37" t="n">
        <v>0.75</v>
      </c>
    </row>
    <row r="83">
      <c r="A83" s="35" t="s">
        <v>49</v>
      </c>
      <c r="B83" s="34" t="s">
        <v>49</v>
      </c>
      <c r="C83" s="35" t="s">
        <v>49</v>
      </c>
      <c r="D83" s="35" t="s">
        <v>53</v>
      </c>
      <c r="E83" s="34" t="s">
        <v>209</v>
      </c>
      <c r="F83" s="35" t="s">
        <v>49</v>
      </c>
      <c r="G83" s="34" t="s">
        <v>211</v>
      </c>
      <c r="H83" s="34" t="s">
        <v>210</v>
      </c>
      <c r="I83" s="35" t="n">
        <v>5.0</v>
      </c>
      <c r="J83" s="35" t="n">
        <v>6.0</v>
      </c>
      <c r="K83" s="37" t="n">
        <v>0.25</v>
      </c>
    </row>
    <row r="84">
      <c r="A84" s="35" t="s">
        <v>49</v>
      </c>
      <c r="B84" s="34" t="s">
        <v>49</v>
      </c>
      <c r="C84" s="35" t="s">
        <v>49</v>
      </c>
      <c r="D84" s="35" t="s">
        <v>53</v>
      </c>
      <c r="E84" s="34" t="s">
        <v>212</v>
      </c>
      <c r="F84" s="35" t="s">
        <v>49</v>
      </c>
      <c r="G84" s="34" t="s">
        <v>214</v>
      </c>
      <c r="H84" s="34" t="s">
        <v>213</v>
      </c>
      <c r="I84" s="35" t="n">
        <v>5.0</v>
      </c>
      <c r="J84" s="35" t="n">
        <v>3.0</v>
      </c>
      <c r="K84" s="37" t="n">
        <v>0.8</v>
      </c>
    </row>
    <row r="85">
      <c r="A85" s="35" t="s">
        <v>49</v>
      </c>
      <c r="B85" s="34" t="s">
        <v>49</v>
      </c>
      <c r="C85" s="35" t="s">
        <v>49</v>
      </c>
      <c r="D85" s="35" t="s">
        <v>53</v>
      </c>
      <c r="E85" s="34" t="s">
        <v>215</v>
      </c>
      <c r="F85" s="35" t="s">
        <v>49</v>
      </c>
      <c r="G85" s="34" t="s">
        <v>217</v>
      </c>
      <c r="H85" s="34" t="s">
        <v>216</v>
      </c>
      <c r="I85" s="35" t="n">
        <v>5.0</v>
      </c>
      <c r="J85" s="35" t="n">
        <v>2.0</v>
      </c>
      <c r="K85" s="37" t="n">
        <v>0.35</v>
      </c>
    </row>
    <row r="86">
      <c r="A86" s="35" t="s">
        <v>49</v>
      </c>
      <c r="B86" s="34" t="s">
        <v>49</v>
      </c>
      <c r="C86" s="35" t="s">
        <v>49</v>
      </c>
      <c r="D86" s="35" t="s">
        <v>53</v>
      </c>
      <c r="E86" s="34" t="s">
        <v>218</v>
      </c>
      <c r="F86" s="35" t="s">
        <v>49</v>
      </c>
      <c r="G86" s="34" t="s">
        <v>220</v>
      </c>
      <c r="H86" s="34" t="s">
        <v>219</v>
      </c>
      <c r="I86" s="35" t="n">
        <v>5.0</v>
      </c>
      <c r="J86" s="35" t="n">
        <v>6.0</v>
      </c>
      <c r="K86" s="37" t="n">
        <v>0.35</v>
      </c>
    </row>
    <row r="87">
      <c r="A87" s="35" t="s">
        <v>49</v>
      </c>
      <c r="B87" s="34" t="s">
        <v>49</v>
      </c>
      <c r="C87" s="35" t="s">
        <v>49</v>
      </c>
      <c r="D87" s="35" t="s">
        <v>53</v>
      </c>
      <c r="E87" s="34" t="s">
        <v>221</v>
      </c>
      <c r="F87" s="35" t="s">
        <v>49</v>
      </c>
      <c r="G87" s="34" t="s">
        <v>223</v>
      </c>
      <c r="H87" s="34" t="s">
        <v>222</v>
      </c>
      <c r="I87" s="35" t="n">
        <v>5.0</v>
      </c>
      <c r="J87" s="35" t="n">
        <v>2.0</v>
      </c>
      <c r="K87" s="37" t="n">
        <v>1.0</v>
      </c>
    </row>
    <row r="88">
      <c r="A88" s="35" t="s">
        <v>49</v>
      </c>
      <c r="B88" s="34" t="s">
        <v>49</v>
      </c>
      <c r="C88" s="35" t="s">
        <v>49</v>
      </c>
      <c r="D88" s="35" t="s">
        <v>53</v>
      </c>
      <c r="E88" s="34" t="s">
        <v>224</v>
      </c>
      <c r="F88" s="35" t="s">
        <v>49</v>
      </c>
      <c r="G88" s="34" t="s">
        <v>226</v>
      </c>
      <c r="H88" s="34" t="s">
        <v>225</v>
      </c>
      <c r="I88" s="35" t="n">
        <v>5.0</v>
      </c>
      <c r="J88" s="35" t="n">
        <v>5.0</v>
      </c>
      <c r="K88" s="37" t="n">
        <v>1.5</v>
      </c>
    </row>
    <row r="89">
      <c r="A89" s="35" t="s">
        <v>49</v>
      </c>
      <c r="B89" s="34" t="s">
        <v>49</v>
      </c>
      <c r="C89" s="35" t="s">
        <v>49</v>
      </c>
      <c r="D89" s="35" t="s">
        <v>49</v>
      </c>
      <c r="E89" s="34" t="s">
        <v>49</v>
      </c>
      <c r="F89" s="35" t="s">
        <v>49</v>
      </c>
      <c r="G89" s="34" t="s">
        <v>49</v>
      </c>
      <c r="H89" s="34" t="s">
        <v>49</v>
      </c>
      <c r="I89" s="35"/>
      <c r="J89" s="35"/>
      <c r="K89" s="37"/>
    </row>
    <row r="90">
      <c r="A90" s="35" t="s">
        <v>49</v>
      </c>
      <c r="B90" s="34" t="s">
        <v>49</v>
      </c>
      <c r="C90" s="35" t="s">
        <v>49</v>
      </c>
      <c r="D90" s="35" t="s">
        <v>49</v>
      </c>
      <c r="E90" s="34" t="s">
        <v>49</v>
      </c>
      <c r="F90" s="35" t="s">
        <v>49</v>
      </c>
      <c r="G90" s="34" t="s">
        <v>49</v>
      </c>
      <c r="H90" s="34" t="s">
        <v>49</v>
      </c>
      <c r="I90" s="35"/>
      <c r="J90" s="35"/>
      <c r="K90" s="37"/>
    </row>
    <row r="91">
      <c r="A91" s="58" t="s">
        <v>15</v>
      </c>
      <c r="B91" s="59" t="s">
        <v>16</v>
      </c>
      <c r="C91" s="60" t="s">
        <v>10</v>
      </c>
      <c r="D91" s="61" t="s">
        <v>6</v>
      </c>
      <c r="E91" s="62" t="s">
        <v>1</v>
      </c>
      <c r="F91" s="63" t="s">
        <v>2</v>
      </c>
      <c r="G91" s="64" t="s">
        <v>8</v>
      </c>
      <c r="H91" s="65" t="s">
        <v>9</v>
      </c>
      <c r="I91" s="66" t="s">
        <v>23</v>
      </c>
      <c r="J91" s="67" t="s">
        <v>11</v>
      </c>
      <c r="K91" s="68" t="s">
        <v>3</v>
      </c>
      <c r="L91" s="69" t="s">
        <v>227</v>
      </c>
      <c r="M91" s="70" t="s">
        <v>4</v>
      </c>
      <c r="N91" s="71">
        <f>SUM(K92:K132)</f>
      </c>
    </row>
    <row r="92">
      <c r="A92" s="35" t="s">
        <v>228</v>
      </c>
      <c r="B92" s="34" t="s">
        <v>229</v>
      </c>
      <c r="C92" s="35" t="s">
        <v>230</v>
      </c>
      <c r="D92" s="34" t="s">
        <v>49</v>
      </c>
      <c r="E92" s="34" t="s">
        <v>49</v>
      </c>
      <c r="F92" s="34" t="s">
        <v>49</v>
      </c>
      <c r="G92" s="34" t="s">
        <v>49</v>
      </c>
      <c r="H92" s="34" t="s">
        <v>49</v>
      </c>
      <c r="I92" s="34" t="s">
        <v>49</v>
      </c>
      <c r="J92" s="34" t="s">
        <v>49</v>
      </c>
      <c r="K92" s="34" t="s">
        <v>49</v>
      </c>
    </row>
    <row r="93">
      <c r="A93" s="35" t="s">
        <v>49</v>
      </c>
      <c r="B93" s="34" t="s">
        <v>49</v>
      </c>
      <c r="C93" s="35" t="s">
        <v>49</v>
      </c>
      <c r="D93" s="35" t="s">
        <v>53</v>
      </c>
      <c r="E93" s="34" t="s">
        <v>231</v>
      </c>
      <c r="F93" s="35" t="s">
        <v>49</v>
      </c>
      <c r="G93" s="34" t="s">
        <v>233</v>
      </c>
      <c r="H93" s="34" t="s">
        <v>232</v>
      </c>
      <c r="I93" s="35" t="n">
        <v>1.0</v>
      </c>
      <c r="J93" s="35" t="n">
        <v>1.0</v>
      </c>
      <c r="K93" s="37" t="n">
        <v>0.15</v>
      </c>
    </row>
    <row r="94">
      <c r="A94" s="35" t="s">
        <v>234</v>
      </c>
      <c r="B94" s="34" t="s">
        <v>235</v>
      </c>
      <c r="C94" s="35" t="s">
        <v>230</v>
      </c>
      <c r="D94" s="34" t="s">
        <v>49</v>
      </c>
      <c r="E94" s="34" t="s">
        <v>49</v>
      </c>
      <c r="F94" s="34" t="s">
        <v>49</v>
      </c>
      <c r="G94" s="34" t="s">
        <v>49</v>
      </c>
      <c r="H94" s="34" t="s">
        <v>49</v>
      </c>
      <c r="I94" s="34" t="s">
        <v>49</v>
      </c>
      <c r="J94" s="34" t="s">
        <v>49</v>
      </c>
      <c r="K94" s="34" t="s">
        <v>49</v>
      </c>
    </row>
    <row r="95">
      <c r="A95" s="35" t="s">
        <v>49</v>
      </c>
      <c r="B95" s="34" t="s">
        <v>49</v>
      </c>
      <c r="C95" s="35" t="s">
        <v>49</v>
      </c>
      <c r="D95" s="35" t="s">
        <v>53</v>
      </c>
      <c r="E95" s="34" t="s">
        <v>236</v>
      </c>
      <c r="F95" s="35" t="s">
        <v>49</v>
      </c>
      <c r="G95" s="34" t="s">
        <v>49</v>
      </c>
      <c r="H95" s="34" t="s">
        <v>49</v>
      </c>
      <c r="I95" s="35" t="n">
        <v>1.0</v>
      </c>
      <c r="J95" s="35" t="n">
        <v>1.0</v>
      </c>
      <c r="K95" s="37" t="n">
        <v>0.5</v>
      </c>
    </row>
    <row r="96">
      <c r="A96" s="35" t="s">
        <v>49</v>
      </c>
      <c r="B96" s="34" t="s">
        <v>49</v>
      </c>
      <c r="C96" s="35" t="s">
        <v>49</v>
      </c>
      <c r="D96" s="35" t="s">
        <v>53</v>
      </c>
      <c r="E96" s="34" t="s">
        <v>237</v>
      </c>
      <c r="F96" s="35" t="s">
        <v>49</v>
      </c>
      <c r="G96" s="34" t="s">
        <v>238</v>
      </c>
      <c r="H96" s="34" t="s">
        <v>49</v>
      </c>
      <c r="I96" s="35" t="n">
        <v>5.0</v>
      </c>
      <c r="J96" s="35" t="n">
        <v>2.0</v>
      </c>
      <c r="K96" s="37" t="n">
        <v>0.4</v>
      </c>
    </row>
    <row r="97">
      <c r="A97" s="35" t="s">
        <v>49</v>
      </c>
      <c r="B97" s="34" t="s">
        <v>49</v>
      </c>
      <c r="C97" s="35" t="s">
        <v>49</v>
      </c>
      <c r="D97" s="35" t="s">
        <v>53</v>
      </c>
      <c r="E97" s="34" t="s">
        <v>239</v>
      </c>
      <c r="F97" s="35" t="s">
        <v>49</v>
      </c>
      <c r="G97" s="34" t="s">
        <v>240</v>
      </c>
      <c r="H97" s="34" t="s">
        <v>49</v>
      </c>
      <c r="I97" s="35" t="n">
        <v>5.0</v>
      </c>
      <c r="J97" s="35" t="n">
        <v>6.0</v>
      </c>
      <c r="K97" s="37" t="n">
        <v>0.4</v>
      </c>
    </row>
    <row r="98">
      <c r="A98" s="35" t="s">
        <v>49</v>
      </c>
      <c r="B98" s="34" t="s">
        <v>49</v>
      </c>
      <c r="C98" s="35" t="s">
        <v>49</v>
      </c>
      <c r="D98" s="35" t="s">
        <v>53</v>
      </c>
      <c r="E98" s="34" t="s">
        <v>241</v>
      </c>
      <c r="F98" s="35" t="s">
        <v>49</v>
      </c>
      <c r="G98" s="34" t="s">
        <v>242</v>
      </c>
      <c r="H98" s="34" t="s">
        <v>49</v>
      </c>
      <c r="I98" s="35" t="n">
        <v>5.0</v>
      </c>
      <c r="J98" s="35" t="n">
        <v>6.0</v>
      </c>
      <c r="K98" s="37" t="n">
        <v>0.4</v>
      </c>
    </row>
    <row r="99">
      <c r="A99" s="35" t="s">
        <v>49</v>
      </c>
      <c r="B99" s="34" t="s">
        <v>49</v>
      </c>
      <c r="C99" s="35" t="s">
        <v>49</v>
      </c>
      <c r="D99" s="35" t="s">
        <v>53</v>
      </c>
      <c r="E99" s="34" t="s">
        <v>243</v>
      </c>
      <c r="F99" s="35" t="s">
        <v>49</v>
      </c>
      <c r="G99" s="34" t="s">
        <v>244</v>
      </c>
      <c r="H99" s="34" t="s">
        <v>49</v>
      </c>
      <c r="I99" s="35" t="n">
        <v>5.0</v>
      </c>
      <c r="J99" s="35" t="n">
        <v>6.0</v>
      </c>
      <c r="K99" s="37" t="n">
        <v>0.4</v>
      </c>
    </row>
    <row r="100">
      <c r="A100" s="35" t="s">
        <v>49</v>
      </c>
      <c r="B100" s="34" t="s">
        <v>49</v>
      </c>
      <c r="C100" s="35" t="s">
        <v>49</v>
      </c>
      <c r="D100" s="35" t="s">
        <v>53</v>
      </c>
      <c r="E100" s="34" t="s">
        <v>245</v>
      </c>
      <c r="F100" s="35" t="s">
        <v>49</v>
      </c>
      <c r="G100" s="34" t="s">
        <v>246</v>
      </c>
      <c r="H100" s="34" t="s">
        <v>49</v>
      </c>
      <c r="I100" s="35" t="n">
        <v>5.0</v>
      </c>
      <c r="J100" s="35" t="n">
        <v>6.0</v>
      </c>
      <c r="K100" s="37" t="n">
        <v>0.4</v>
      </c>
    </row>
    <row r="101">
      <c r="A101" s="35" t="s">
        <v>49</v>
      </c>
      <c r="B101" s="34" t="s">
        <v>49</v>
      </c>
      <c r="C101" s="35" t="s">
        <v>49</v>
      </c>
      <c r="D101" s="35" t="s">
        <v>53</v>
      </c>
      <c r="E101" s="34" t="s">
        <v>247</v>
      </c>
      <c r="F101" s="35" t="s">
        <v>49</v>
      </c>
      <c r="G101" s="34" t="s">
        <v>49</v>
      </c>
      <c r="H101" s="34" t="s">
        <v>49</v>
      </c>
      <c r="I101" s="35" t="n">
        <v>5.0</v>
      </c>
      <c r="J101" s="35" t="n">
        <v>1.0</v>
      </c>
      <c r="K101" s="37" t="n">
        <v>0.4</v>
      </c>
    </row>
    <row r="102">
      <c r="A102" s="35" t="s">
        <v>49</v>
      </c>
      <c r="B102" s="34" t="s">
        <v>49</v>
      </c>
      <c r="C102" s="35" t="s">
        <v>49</v>
      </c>
      <c r="D102" s="35" t="s">
        <v>53</v>
      </c>
      <c r="E102" s="34" t="s">
        <v>248</v>
      </c>
      <c r="F102" s="35" t="s">
        <v>49</v>
      </c>
      <c r="G102" s="34" t="s">
        <v>49</v>
      </c>
      <c r="H102" s="34" t="s">
        <v>49</v>
      </c>
      <c r="I102" s="35" t="n">
        <v>5.0</v>
      </c>
      <c r="J102" s="35" t="n">
        <v>1.0</v>
      </c>
      <c r="K102" s="37" t="n">
        <v>0.25</v>
      </c>
    </row>
    <row r="103">
      <c r="A103" s="35" t="s">
        <v>249</v>
      </c>
      <c r="B103" s="34" t="s">
        <v>250</v>
      </c>
      <c r="C103" s="35" t="s">
        <v>230</v>
      </c>
      <c r="D103" s="34" t="s">
        <v>49</v>
      </c>
      <c r="E103" s="34" t="s">
        <v>49</v>
      </c>
      <c r="F103" s="34" t="s">
        <v>49</v>
      </c>
      <c r="G103" s="34" t="s">
        <v>49</v>
      </c>
      <c r="H103" s="34" t="s">
        <v>49</v>
      </c>
      <c r="I103" s="34" t="s">
        <v>49</v>
      </c>
      <c r="J103" s="34" t="s">
        <v>49</v>
      </c>
      <c r="K103" s="34" t="s">
        <v>49</v>
      </c>
    </row>
    <row r="104">
      <c r="A104" s="35" t="s">
        <v>49</v>
      </c>
      <c r="B104" s="34" t="s">
        <v>49</v>
      </c>
      <c r="C104" s="35" t="s">
        <v>49</v>
      </c>
      <c r="D104" s="35" t="s">
        <v>53</v>
      </c>
      <c r="E104" s="34" t="s">
        <v>251</v>
      </c>
      <c r="F104" s="35" t="s">
        <v>49</v>
      </c>
      <c r="G104" s="34" t="s">
        <v>252</v>
      </c>
      <c r="H104" s="34" t="s">
        <v>49</v>
      </c>
      <c r="I104" s="35" t="n">
        <v>2.0</v>
      </c>
      <c r="J104" s="35" t="n">
        <v>7.0</v>
      </c>
      <c r="K104" s="37" t="n">
        <v>0.25</v>
      </c>
    </row>
    <row r="105">
      <c r="A105" s="35" t="s">
        <v>49</v>
      </c>
      <c r="B105" s="34" t="s">
        <v>49</v>
      </c>
      <c r="C105" s="35" t="s">
        <v>49</v>
      </c>
      <c r="D105" s="35" t="s">
        <v>53</v>
      </c>
      <c r="E105" s="34" t="s">
        <v>253</v>
      </c>
      <c r="F105" s="35" t="s">
        <v>49</v>
      </c>
      <c r="G105" s="34" t="s">
        <v>49</v>
      </c>
      <c r="H105" s="34" t="s">
        <v>49</v>
      </c>
      <c r="I105" s="35" t="n">
        <v>2.0</v>
      </c>
      <c r="J105" s="35" t="n">
        <v>1.0</v>
      </c>
      <c r="K105" s="37" t="n">
        <v>0.25</v>
      </c>
    </row>
    <row r="106">
      <c r="A106" s="35" t="s">
        <v>49</v>
      </c>
      <c r="B106" s="34" t="s">
        <v>49</v>
      </c>
      <c r="C106" s="35" t="s">
        <v>49</v>
      </c>
      <c r="D106" s="35" t="s">
        <v>53</v>
      </c>
      <c r="E106" s="34" t="s">
        <v>254</v>
      </c>
      <c r="F106" s="35" t="s">
        <v>49</v>
      </c>
      <c r="G106" s="34" t="s">
        <v>49</v>
      </c>
      <c r="H106" s="34" t="s">
        <v>49</v>
      </c>
      <c r="I106" s="35" t="n">
        <v>2.0</v>
      </c>
      <c r="J106" s="35" t="n">
        <v>1.0</v>
      </c>
      <c r="K106" s="37" t="n">
        <v>0.4</v>
      </c>
    </row>
    <row r="107">
      <c r="A107" s="35" t="s">
        <v>49</v>
      </c>
      <c r="B107" s="34" t="s">
        <v>49</v>
      </c>
      <c r="C107" s="35" t="s">
        <v>49</v>
      </c>
      <c r="D107" s="35" t="s">
        <v>53</v>
      </c>
      <c r="E107" s="34" t="s">
        <v>255</v>
      </c>
      <c r="F107" s="35" t="s">
        <v>49</v>
      </c>
      <c r="G107" s="34" t="s">
        <v>49</v>
      </c>
      <c r="H107" s="34" t="s">
        <v>49</v>
      </c>
      <c r="I107" s="35" t="n">
        <v>5.0</v>
      </c>
      <c r="J107" s="35" t="n">
        <v>1.0</v>
      </c>
      <c r="K107" s="37" t="n">
        <v>0.4</v>
      </c>
    </row>
    <row r="108">
      <c r="A108" s="35" t="s">
        <v>49</v>
      </c>
      <c r="B108" s="34" t="s">
        <v>49</v>
      </c>
      <c r="C108" s="35" t="s">
        <v>49</v>
      </c>
      <c r="D108" s="35" t="s">
        <v>53</v>
      </c>
      <c r="E108" s="34" t="s">
        <v>256</v>
      </c>
      <c r="F108" s="35" t="s">
        <v>49</v>
      </c>
      <c r="G108" s="34" t="s">
        <v>49</v>
      </c>
      <c r="H108" s="34" t="s">
        <v>49</v>
      </c>
      <c r="I108" s="35" t="n">
        <v>5.0</v>
      </c>
      <c r="J108" s="35" t="n">
        <v>1.0</v>
      </c>
      <c r="K108" s="37" t="n">
        <v>0.4</v>
      </c>
    </row>
    <row r="109">
      <c r="A109" s="35" t="s">
        <v>257</v>
      </c>
      <c r="B109" s="34" t="s">
        <v>258</v>
      </c>
      <c r="C109" s="35" t="s">
        <v>230</v>
      </c>
      <c r="D109" s="34" t="s">
        <v>49</v>
      </c>
      <c r="E109" s="34" t="s">
        <v>49</v>
      </c>
      <c r="F109" s="34" t="s">
        <v>49</v>
      </c>
      <c r="G109" s="34" t="s">
        <v>49</v>
      </c>
      <c r="H109" s="34" t="s">
        <v>49</v>
      </c>
      <c r="I109" s="34" t="s">
        <v>49</v>
      </c>
      <c r="J109" s="34" t="s">
        <v>49</v>
      </c>
      <c r="K109" s="34" t="s">
        <v>49</v>
      </c>
    </row>
    <row r="110">
      <c r="A110" s="35" t="s">
        <v>49</v>
      </c>
      <c r="B110" s="34" t="s">
        <v>49</v>
      </c>
      <c r="C110" s="35" t="s">
        <v>49</v>
      </c>
      <c r="D110" s="35" t="s">
        <v>53</v>
      </c>
      <c r="E110" s="34" t="s">
        <v>259</v>
      </c>
      <c r="F110" s="35" t="s">
        <v>49</v>
      </c>
      <c r="G110" s="34" t="s">
        <v>260</v>
      </c>
      <c r="H110" s="34" t="s">
        <v>49</v>
      </c>
      <c r="I110" s="35" t="n">
        <v>5.0</v>
      </c>
      <c r="J110" s="35" t="n">
        <v>2.0</v>
      </c>
      <c r="K110" s="37" t="n">
        <v>0.5</v>
      </c>
    </row>
    <row r="111">
      <c r="A111" s="35" t="s">
        <v>49</v>
      </c>
      <c r="B111" s="34" t="s">
        <v>49</v>
      </c>
      <c r="C111" s="35" t="s">
        <v>49</v>
      </c>
      <c r="D111" s="35" t="s">
        <v>53</v>
      </c>
      <c r="E111" s="34" t="s">
        <v>261</v>
      </c>
      <c r="F111" s="35" t="s">
        <v>49</v>
      </c>
      <c r="G111" s="34" t="s">
        <v>262</v>
      </c>
      <c r="H111" s="34" t="s">
        <v>49</v>
      </c>
      <c r="I111" s="35" t="n">
        <v>5.0</v>
      </c>
      <c r="J111" s="35" t="n">
        <v>6.0</v>
      </c>
      <c r="K111" s="37" t="n">
        <v>0.4</v>
      </c>
    </row>
    <row r="112">
      <c r="A112" s="35" t="s">
        <v>49</v>
      </c>
      <c r="B112" s="34" t="s">
        <v>49</v>
      </c>
      <c r="C112" s="35" t="s">
        <v>49</v>
      </c>
      <c r="D112" s="35" t="s">
        <v>53</v>
      </c>
      <c r="E112" s="34" t="s">
        <v>263</v>
      </c>
      <c r="F112" s="35" t="s">
        <v>49</v>
      </c>
      <c r="G112" s="34" t="s">
        <v>49</v>
      </c>
      <c r="H112" s="34" t="s">
        <v>49</v>
      </c>
      <c r="I112" s="35" t="n">
        <v>5.0</v>
      </c>
      <c r="J112" s="35" t="n">
        <v>1.0</v>
      </c>
      <c r="K112" s="37" t="n">
        <v>0.5</v>
      </c>
    </row>
    <row r="113">
      <c r="A113" s="35" t="s">
        <v>264</v>
      </c>
      <c r="B113" s="34" t="s">
        <v>265</v>
      </c>
      <c r="C113" s="35" t="s">
        <v>230</v>
      </c>
      <c r="D113" s="34" t="s">
        <v>49</v>
      </c>
      <c r="E113" s="34" t="s">
        <v>49</v>
      </c>
      <c r="F113" s="34" t="s">
        <v>49</v>
      </c>
      <c r="G113" s="34" t="s">
        <v>49</v>
      </c>
      <c r="H113" s="34" t="s">
        <v>49</v>
      </c>
      <c r="I113" s="34" t="s">
        <v>49</v>
      </c>
      <c r="J113" s="34" t="s">
        <v>49</v>
      </c>
      <c r="K113" s="34" t="s">
        <v>49</v>
      </c>
    </row>
    <row r="114">
      <c r="A114" s="35" t="s">
        <v>49</v>
      </c>
      <c r="B114" s="34" t="s">
        <v>49</v>
      </c>
      <c r="C114" s="35" t="s">
        <v>49</v>
      </c>
      <c r="D114" s="35" t="s">
        <v>53</v>
      </c>
      <c r="E114" s="34" t="s">
        <v>266</v>
      </c>
      <c r="F114" s="35" t="s">
        <v>49</v>
      </c>
      <c r="G114" s="34" t="s">
        <v>49</v>
      </c>
      <c r="H114" s="34" t="s">
        <v>49</v>
      </c>
      <c r="I114" s="35" t="n">
        <v>2.0</v>
      </c>
      <c r="J114" s="35" t="n">
        <v>1.0</v>
      </c>
      <c r="K114" s="37" t="n">
        <v>0.5</v>
      </c>
    </row>
    <row r="115">
      <c r="A115" s="35" t="s">
        <v>49</v>
      </c>
      <c r="B115" s="34" t="s">
        <v>49</v>
      </c>
      <c r="C115" s="35" t="s">
        <v>49</v>
      </c>
      <c r="D115" s="35" t="s">
        <v>53</v>
      </c>
      <c r="E115" s="34" t="s">
        <v>267</v>
      </c>
      <c r="F115" s="35" t="s">
        <v>49</v>
      </c>
      <c r="G115" s="34" t="s">
        <v>49</v>
      </c>
      <c r="H115" s="34" t="s">
        <v>49</v>
      </c>
      <c r="I115" s="35" t="n">
        <v>5.0</v>
      </c>
      <c r="J115" s="35" t="n">
        <v>1.0</v>
      </c>
      <c r="K115" s="37" t="n">
        <v>0.5</v>
      </c>
    </row>
    <row r="116">
      <c r="A116" s="35" t="s">
        <v>49</v>
      </c>
      <c r="B116" s="34" t="s">
        <v>49</v>
      </c>
      <c r="C116" s="35" t="s">
        <v>49</v>
      </c>
      <c r="D116" s="35" t="s">
        <v>53</v>
      </c>
      <c r="E116" s="34" t="s">
        <v>268</v>
      </c>
      <c r="F116" s="35" t="s">
        <v>49</v>
      </c>
      <c r="G116" s="34" t="s">
        <v>269</v>
      </c>
      <c r="H116" s="34" t="s">
        <v>49</v>
      </c>
      <c r="I116" s="35" t="n">
        <v>5.0</v>
      </c>
      <c r="J116" s="35" t="n">
        <v>6.0</v>
      </c>
      <c r="K116" s="37" t="n">
        <v>0.5</v>
      </c>
    </row>
    <row r="117">
      <c r="A117" s="35" t="s">
        <v>49</v>
      </c>
      <c r="B117" s="34" t="s">
        <v>49</v>
      </c>
      <c r="C117" s="35" t="s">
        <v>49</v>
      </c>
      <c r="D117" s="35" t="s">
        <v>53</v>
      </c>
      <c r="E117" s="34" t="s">
        <v>270</v>
      </c>
      <c r="F117" s="35" t="s">
        <v>49</v>
      </c>
      <c r="G117" s="34" t="s">
        <v>49</v>
      </c>
      <c r="H117" s="34" t="s">
        <v>49</v>
      </c>
      <c r="I117" s="35" t="n">
        <v>5.0</v>
      </c>
      <c r="J117" s="35" t="n">
        <v>1.0</v>
      </c>
      <c r="K117" s="37" t="n">
        <v>0.5</v>
      </c>
    </row>
    <row r="118">
      <c r="A118" s="35" t="s">
        <v>49</v>
      </c>
      <c r="B118" s="34" t="s">
        <v>49</v>
      </c>
      <c r="C118" s="35" t="s">
        <v>49</v>
      </c>
      <c r="D118" s="35" t="s">
        <v>53</v>
      </c>
      <c r="E118" s="34" t="s">
        <v>271</v>
      </c>
      <c r="F118" s="35" t="s">
        <v>49</v>
      </c>
      <c r="G118" s="34" t="s">
        <v>49</v>
      </c>
      <c r="H118" s="34" t="s">
        <v>49</v>
      </c>
      <c r="I118" s="35" t="n">
        <v>5.0</v>
      </c>
      <c r="J118" s="35" t="n">
        <v>1.0</v>
      </c>
      <c r="K118" s="37" t="n">
        <v>0.25</v>
      </c>
    </row>
    <row r="119">
      <c r="A119" s="35" t="s">
        <v>49</v>
      </c>
      <c r="B119" s="34" t="s">
        <v>49</v>
      </c>
      <c r="C119" s="35" t="s">
        <v>49</v>
      </c>
      <c r="D119" s="35" t="s">
        <v>53</v>
      </c>
      <c r="E119" s="34" t="s">
        <v>272</v>
      </c>
      <c r="F119" s="35" t="s">
        <v>49</v>
      </c>
      <c r="G119" s="34" t="s">
        <v>49</v>
      </c>
      <c r="H119" s="34" t="s">
        <v>49</v>
      </c>
      <c r="I119" s="35" t="n">
        <v>5.0</v>
      </c>
      <c r="J119" s="35" t="n">
        <v>1.0</v>
      </c>
      <c r="K119" s="37" t="n">
        <v>0.5</v>
      </c>
    </row>
    <row r="120">
      <c r="A120" s="35" t="s">
        <v>49</v>
      </c>
      <c r="B120" s="34" t="s">
        <v>49</v>
      </c>
      <c r="C120" s="35" t="s">
        <v>49</v>
      </c>
      <c r="D120" s="35" t="s">
        <v>53</v>
      </c>
      <c r="E120" s="34" t="s">
        <v>273</v>
      </c>
      <c r="F120" s="35" t="s">
        <v>49</v>
      </c>
      <c r="G120" s="34" t="s">
        <v>49</v>
      </c>
      <c r="H120" s="34" t="s">
        <v>49</v>
      </c>
      <c r="I120" s="35" t="n">
        <v>5.0</v>
      </c>
      <c r="J120" s="35" t="n">
        <v>1.0</v>
      </c>
      <c r="K120" s="37" t="n">
        <v>0.25</v>
      </c>
    </row>
    <row r="121">
      <c r="A121" s="35" t="s">
        <v>49</v>
      </c>
      <c r="B121" s="34" t="s">
        <v>49</v>
      </c>
      <c r="C121" s="35" t="s">
        <v>49</v>
      </c>
      <c r="D121" s="35" t="s">
        <v>53</v>
      </c>
      <c r="E121" s="34" t="s">
        <v>274</v>
      </c>
      <c r="F121" s="35" t="s">
        <v>49</v>
      </c>
      <c r="G121" s="34" t="s">
        <v>275</v>
      </c>
      <c r="H121" s="34" t="s">
        <v>49</v>
      </c>
      <c r="I121" s="35" t="n">
        <v>2.0</v>
      </c>
      <c r="J121" s="35" t="n">
        <v>6.0</v>
      </c>
      <c r="K121" s="37" t="n">
        <v>0.5</v>
      </c>
    </row>
    <row r="122">
      <c r="A122" s="35" t="s">
        <v>49</v>
      </c>
      <c r="B122" s="34" t="s">
        <v>49</v>
      </c>
      <c r="C122" s="35" t="s">
        <v>49</v>
      </c>
      <c r="D122" s="35" t="s">
        <v>53</v>
      </c>
      <c r="E122" s="34" t="s">
        <v>276</v>
      </c>
      <c r="F122" s="35" t="s">
        <v>49</v>
      </c>
      <c r="G122" s="34" t="s">
        <v>49</v>
      </c>
      <c r="H122" s="34" t="s">
        <v>49</v>
      </c>
      <c r="I122" s="35" t="n">
        <v>5.0</v>
      </c>
      <c r="J122" s="35" t="n">
        <v>1.0</v>
      </c>
      <c r="K122" s="37" t="n">
        <v>0.25</v>
      </c>
    </row>
    <row r="123">
      <c r="A123" s="35" t="s">
        <v>49</v>
      </c>
      <c r="B123" s="34" t="s">
        <v>49</v>
      </c>
      <c r="C123" s="35" t="s">
        <v>49</v>
      </c>
      <c r="D123" s="35" t="s">
        <v>53</v>
      </c>
      <c r="E123" s="34" t="s">
        <v>277</v>
      </c>
      <c r="F123" s="35" t="s">
        <v>49</v>
      </c>
      <c r="G123" s="34" t="s">
        <v>49</v>
      </c>
      <c r="H123" s="34" t="s">
        <v>49</v>
      </c>
      <c r="I123" s="35" t="n">
        <v>5.0</v>
      </c>
      <c r="J123" s="35" t="n">
        <v>1.0</v>
      </c>
      <c r="K123" s="37" t="n">
        <v>0.25</v>
      </c>
    </row>
    <row r="124">
      <c r="A124" s="35" t="s">
        <v>278</v>
      </c>
      <c r="B124" s="34" t="s">
        <v>279</v>
      </c>
      <c r="C124" s="35" t="s">
        <v>230</v>
      </c>
      <c r="D124" s="34" t="s">
        <v>49</v>
      </c>
      <c r="E124" s="34" t="s">
        <v>49</v>
      </c>
      <c r="F124" s="34" t="s">
        <v>49</v>
      </c>
      <c r="G124" s="34" t="s">
        <v>49</v>
      </c>
      <c r="H124" s="34" t="s">
        <v>49</v>
      </c>
      <c r="I124" s="34" t="s">
        <v>49</v>
      </c>
      <c r="J124" s="34" t="s">
        <v>49</v>
      </c>
      <c r="K124" s="34" t="s">
        <v>49</v>
      </c>
    </row>
    <row r="125">
      <c r="A125" s="35" t="s">
        <v>49</v>
      </c>
      <c r="B125" s="34" t="s">
        <v>49</v>
      </c>
      <c r="C125" s="35" t="s">
        <v>49</v>
      </c>
      <c r="D125" s="35" t="s">
        <v>53</v>
      </c>
      <c r="E125" s="34" t="s">
        <v>280</v>
      </c>
      <c r="F125" s="35" t="s">
        <v>49</v>
      </c>
      <c r="G125" s="34" t="s">
        <v>281</v>
      </c>
      <c r="H125" s="34" t="s">
        <v>49</v>
      </c>
      <c r="I125" s="35" t="n">
        <v>5.0</v>
      </c>
      <c r="J125" s="35" t="n">
        <v>2.0</v>
      </c>
      <c r="K125" s="37" t="n">
        <v>0.5</v>
      </c>
    </row>
    <row r="126">
      <c r="A126" s="35" t="s">
        <v>49</v>
      </c>
      <c r="B126" s="34" t="s">
        <v>49</v>
      </c>
      <c r="C126" s="35" t="s">
        <v>49</v>
      </c>
      <c r="D126" s="35" t="s">
        <v>53</v>
      </c>
      <c r="E126" s="34" t="s">
        <v>282</v>
      </c>
      <c r="F126" s="35" t="s">
        <v>49</v>
      </c>
      <c r="G126" s="34" t="s">
        <v>49</v>
      </c>
      <c r="H126" s="34" t="s">
        <v>49</v>
      </c>
      <c r="I126" s="35" t="n">
        <v>2.0</v>
      </c>
      <c r="J126" s="35" t="n">
        <v>1.0</v>
      </c>
      <c r="K126" s="37" t="n">
        <v>0.15</v>
      </c>
    </row>
    <row r="127">
      <c r="A127" s="35" t="s">
        <v>49</v>
      </c>
      <c r="B127" s="34" t="s">
        <v>49</v>
      </c>
      <c r="C127" s="35" t="s">
        <v>49</v>
      </c>
      <c r="D127" s="35" t="s">
        <v>53</v>
      </c>
      <c r="E127" s="34" t="s">
        <v>283</v>
      </c>
      <c r="F127" s="35" t="s">
        <v>49</v>
      </c>
      <c r="G127" s="34" t="s">
        <v>284</v>
      </c>
      <c r="H127" s="34" t="s">
        <v>49</v>
      </c>
      <c r="I127" s="35" t="n">
        <v>5.0</v>
      </c>
      <c r="J127" s="35" t="n">
        <v>8.0</v>
      </c>
      <c r="K127" s="37" t="n">
        <v>0.5</v>
      </c>
    </row>
    <row r="128">
      <c r="A128" s="35" t="s">
        <v>49</v>
      </c>
      <c r="B128" s="34" t="s">
        <v>49</v>
      </c>
      <c r="C128" s="35" t="s">
        <v>49</v>
      </c>
      <c r="D128" s="35" t="s">
        <v>53</v>
      </c>
      <c r="E128" s="34" t="s">
        <v>285</v>
      </c>
      <c r="F128" s="35" t="s">
        <v>49</v>
      </c>
      <c r="G128" s="34" t="s">
        <v>49</v>
      </c>
      <c r="H128" s="34" t="s">
        <v>49</v>
      </c>
      <c r="I128" s="35" t="n">
        <v>2.0</v>
      </c>
      <c r="J128" s="35" t="n">
        <v>1.0</v>
      </c>
      <c r="K128" s="37" t="n">
        <v>0.5</v>
      </c>
    </row>
    <row r="129">
      <c r="A129" s="35" t="s">
        <v>49</v>
      </c>
      <c r="B129" s="34" t="s">
        <v>49</v>
      </c>
      <c r="C129" s="35" t="s">
        <v>49</v>
      </c>
      <c r="D129" s="35" t="s">
        <v>53</v>
      </c>
      <c r="E129" s="34" t="s">
        <v>286</v>
      </c>
      <c r="F129" s="35" t="s">
        <v>49</v>
      </c>
      <c r="G129" s="34" t="s">
        <v>49</v>
      </c>
      <c r="H129" s="34" t="s">
        <v>49</v>
      </c>
      <c r="I129" s="35" t="n">
        <v>4.0</v>
      </c>
      <c r="J129" s="35" t="n">
        <v>1.0</v>
      </c>
      <c r="K129" s="37" t="n">
        <v>0.45</v>
      </c>
    </row>
    <row r="130">
      <c r="A130" s="35" t="s">
        <v>49</v>
      </c>
      <c r="B130" s="34" t="s">
        <v>49</v>
      </c>
      <c r="C130" s="35" t="s">
        <v>49</v>
      </c>
      <c r="D130" s="35" t="s">
        <v>53</v>
      </c>
      <c r="E130" s="34" t="s">
        <v>287</v>
      </c>
      <c r="F130" s="35" t="s">
        <v>49</v>
      </c>
      <c r="G130" s="34" t="s">
        <v>49</v>
      </c>
      <c r="H130" s="34" t="s">
        <v>49</v>
      </c>
      <c r="I130" s="35" t="n">
        <v>2.0</v>
      </c>
      <c r="J130" s="35" t="n">
        <v>1.0</v>
      </c>
      <c r="K130" s="37" t="n">
        <v>0.5</v>
      </c>
    </row>
    <row r="131">
      <c r="A131" s="35" t="s">
        <v>49</v>
      </c>
      <c r="B131" s="34" t="s">
        <v>49</v>
      </c>
      <c r="C131" s="35" t="s">
        <v>49</v>
      </c>
      <c r="D131" s="35" t="s">
        <v>49</v>
      </c>
      <c r="E131" s="34" t="s">
        <v>49</v>
      </c>
      <c r="F131" s="35" t="s">
        <v>49</v>
      </c>
      <c r="G131" s="34" t="s">
        <v>49</v>
      </c>
      <c r="H131" s="34" t="s">
        <v>49</v>
      </c>
      <c r="I131" s="35"/>
      <c r="J131" s="35"/>
      <c r="K131" s="37"/>
    </row>
    <row r="132">
      <c r="A132" s="35" t="s">
        <v>49</v>
      </c>
      <c r="B132" s="34" t="s">
        <v>49</v>
      </c>
      <c r="C132" s="35" t="s">
        <v>49</v>
      </c>
      <c r="D132" s="35" t="s">
        <v>49</v>
      </c>
      <c r="E132" s="34" t="s">
        <v>49</v>
      </c>
      <c r="F132" s="35" t="s">
        <v>49</v>
      </c>
      <c r="G132" s="34" t="s">
        <v>49</v>
      </c>
      <c r="H132" s="34" t="s">
        <v>49</v>
      </c>
      <c r="I132" s="35"/>
      <c r="J132" s="35"/>
      <c r="K132" s="37"/>
    </row>
    <row r="133">
      <c r="A133" s="72" t="s">
        <v>15</v>
      </c>
      <c r="B133" s="73" t="s">
        <v>16</v>
      </c>
      <c r="C133" s="74" t="s">
        <v>10</v>
      </c>
      <c r="D133" s="75" t="s">
        <v>6</v>
      </c>
      <c r="E133" s="76" t="s">
        <v>1</v>
      </c>
      <c r="F133" s="77" t="s">
        <v>2</v>
      </c>
      <c r="G133" s="78" t="s">
        <v>8</v>
      </c>
      <c r="H133" s="79" t="s">
        <v>9</v>
      </c>
      <c r="I133" s="80" t="s">
        <v>23</v>
      </c>
      <c r="J133" s="81" t="s">
        <v>11</v>
      </c>
      <c r="K133" s="82" t="s">
        <v>3</v>
      </c>
      <c r="L133" s="83" t="s">
        <v>288</v>
      </c>
      <c r="M133" s="84" t="s">
        <v>4</v>
      </c>
      <c r="N133" s="85">
        <f>SUM(K134:K171)</f>
      </c>
    </row>
    <row r="134">
      <c r="A134" s="35" t="s">
        <v>289</v>
      </c>
      <c r="B134" s="34" t="s">
        <v>229</v>
      </c>
      <c r="C134" s="35" t="s">
        <v>230</v>
      </c>
      <c r="D134" s="34" t="s">
        <v>49</v>
      </c>
      <c r="E134" s="34" t="s">
        <v>49</v>
      </c>
      <c r="F134" s="34" t="s">
        <v>49</v>
      </c>
      <c r="G134" s="34" t="s">
        <v>49</v>
      </c>
      <c r="H134" s="34" t="s">
        <v>49</v>
      </c>
      <c r="I134" s="34" t="s">
        <v>49</v>
      </c>
      <c r="J134" s="34" t="s">
        <v>49</v>
      </c>
      <c r="K134" s="34" t="s">
        <v>49</v>
      </c>
    </row>
    <row r="135">
      <c r="A135" s="35" t="s">
        <v>49</v>
      </c>
      <c r="B135" s="34" t="s">
        <v>49</v>
      </c>
      <c r="C135" s="35" t="s">
        <v>49</v>
      </c>
      <c r="D135" s="35" t="s">
        <v>53</v>
      </c>
      <c r="E135" s="34" t="s">
        <v>290</v>
      </c>
      <c r="F135" s="35" t="s">
        <v>49</v>
      </c>
      <c r="G135" s="34" t="s">
        <v>233</v>
      </c>
      <c r="H135" s="34" t="s">
        <v>232</v>
      </c>
      <c r="I135" s="35" t="n">
        <v>1.0</v>
      </c>
      <c r="J135" s="35" t="n">
        <v>1.0</v>
      </c>
      <c r="K135" s="37" t="n">
        <v>0.15</v>
      </c>
    </row>
    <row r="136">
      <c r="A136" s="35" t="s">
        <v>49</v>
      </c>
      <c r="B136" s="34" t="s">
        <v>49</v>
      </c>
      <c r="C136" s="35" t="s">
        <v>49</v>
      </c>
      <c r="D136" s="35" t="s">
        <v>53</v>
      </c>
      <c r="E136" s="34" t="s">
        <v>291</v>
      </c>
      <c r="F136" s="35" t="s">
        <v>49</v>
      </c>
      <c r="G136" s="34" t="s">
        <v>293</v>
      </c>
      <c r="H136" s="34" t="s">
        <v>292</v>
      </c>
      <c r="I136" s="35" t="n">
        <v>1.0</v>
      </c>
      <c r="J136" s="35" t="n">
        <v>1.0</v>
      </c>
      <c r="K136" s="37" t="n">
        <v>0.2</v>
      </c>
    </row>
    <row r="137">
      <c r="A137" s="35" t="s">
        <v>294</v>
      </c>
      <c r="B137" s="34" t="s">
        <v>295</v>
      </c>
      <c r="C137" s="35" t="s">
        <v>230</v>
      </c>
      <c r="D137" s="34" t="s">
        <v>49</v>
      </c>
      <c r="E137" s="34" t="s">
        <v>49</v>
      </c>
      <c r="F137" s="34" t="s">
        <v>49</v>
      </c>
      <c r="G137" s="34" t="s">
        <v>49</v>
      </c>
      <c r="H137" s="34" t="s">
        <v>49</v>
      </c>
      <c r="I137" s="34" t="s">
        <v>49</v>
      </c>
      <c r="J137" s="34" t="s">
        <v>49</v>
      </c>
      <c r="K137" s="34" t="s">
        <v>49</v>
      </c>
    </row>
    <row r="138">
      <c r="A138" s="35" t="s">
        <v>49</v>
      </c>
      <c r="B138" s="34" t="s">
        <v>49</v>
      </c>
      <c r="C138" s="35" t="s">
        <v>49</v>
      </c>
      <c r="D138" s="35" t="s">
        <v>53</v>
      </c>
      <c r="E138" s="34" t="s">
        <v>296</v>
      </c>
      <c r="F138" s="35" t="s">
        <v>49</v>
      </c>
      <c r="G138" s="34" t="s">
        <v>298</v>
      </c>
      <c r="H138" s="34" t="s">
        <v>297</v>
      </c>
      <c r="I138" s="35" t="n">
        <v>3.0</v>
      </c>
      <c r="J138" s="35" t="n">
        <v>5.0</v>
      </c>
      <c r="K138" s="37" t="n">
        <v>0.8</v>
      </c>
    </row>
    <row r="139">
      <c r="A139" s="35" t="s">
        <v>49</v>
      </c>
      <c r="B139" s="34" t="s">
        <v>49</v>
      </c>
      <c r="C139" s="35" t="s">
        <v>49</v>
      </c>
      <c r="D139" s="35" t="s">
        <v>53</v>
      </c>
      <c r="E139" s="34" t="s">
        <v>299</v>
      </c>
      <c r="F139" s="35" t="s">
        <v>49</v>
      </c>
      <c r="G139" s="34" t="s">
        <v>301</v>
      </c>
      <c r="H139" s="34" t="s">
        <v>300</v>
      </c>
      <c r="I139" s="35" t="n">
        <v>5.0</v>
      </c>
      <c r="J139" s="35" t="n">
        <v>1.0</v>
      </c>
      <c r="K139" s="37" t="n">
        <v>0.2</v>
      </c>
    </row>
    <row r="140">
      <c r="A140" s="35" t="s">
        <v>49</v>
      </c>
      <c r="B140" s="34" t="s">
        <v>49</v>
      </c>
      <c r="C140" s="35" t="s">
        <v>49</v>
      </c>
      <c r="D140" s="35" t="s">
        <v>53</v>
      </c>
      <c r="E140" s="34" t="s">
        <v>305</v>
      </c>
      <c r="F140" s="35" t="s">
        <v>49</v>
      </c>
      <c r="G140" s="34" t="s">
        <v>307</v>
      </c>
      <c r="H140" s="34" t="s">
        <v>306</v>
      </c>
      <c r="I140" s="35" t="n">
        <v>5.0</v>
      </c>
      <c r="J140" s="35" t="n">
        <v>9.0</v>
      </c>
      <c r="K140" s="37" t="n">
        <v>1.8</v>
      </c>
    </row>
    <row r="141">
      <c r="A141" s="35" t="s">
        <v>49</v>
      </c>
      <c r="B141" s="34" t="s">
        <v>49</v>
      </c>
      <c r="C141" s="35" t="s">
        <v>49</v>
      </c>
      <c r="D141" s="35" t="s">
        <v>53</v>
      </c>
      <c r="E141" s="34" t="s">
        <v>308</v>
      </c>
      <c r="F141" s="35" t="s">
        <v>49</v>
      </c>
      <c r="G141" s="34" t="s">
        <v>310</v>
      </c>
      <c r="H141" s="34" t="s">
        <v>309</v>
      </c>
      <c r="I141" s="35" t="n">
        <v>3.0</v>
      </c>
      <c r="J141" s="35" t="n">
        <v>2.0</v>
      </c>
      <c r="K141" s="37" t="n">
        <v>0.6</v>
      </c>
    </row>
    <row r="142">
      <c r="A142" s="35" t="s">
        <v>49</v>
      </c>
      <c r="B142" s="34" t="s">
        <v>49</v>
      </c>
      <c r="C142" s="35" t="s">
        <v>49</v>
      </c>
      <c r="D142" s="35" t="s">
        <v>53</v>
      </c>
      <c r="E142" s="34" t="s">
        <v>311</v>
      </c>
      <c r="F142" s="35" t="s">
        <v>49</v>
      </c>
      <c r="G142" s="34" t="s">
        <v>313</v>
      </c>
      <c r="H142" s="34" t="s">
        <v>312</v>
      </c>
      <c r="I142" s="35" t="n">
        <v>5.0</v>
      </c>
      <c r="J142" s="35" t="n">
        <v>1.0</v>
      </c>
      <c r="K142" s="37" t="n">
        <v>0.35</v>
      </c>
    </row>
    <row r="143">
      <c r="A143" s="35" t="s">
        <v>49</v>
      </c>
      <c r="B143" s="34" t="s">
        <v>49</v>
      </c>
      <c r="C143" s="35" t="s">
        <v>49</v>
      </c>
      <c r="D143" s="35" t="s">
        <v>53</v>
      </c>
      <c r="E143" s="34" t="s">
        <v>314</v>
      </c>
      <c r="F143" s="35" t="s">
        <v>49</v>
      </c>
      <c r="G143" s="34" t="s">
        <v>316</v>
      </c>
      <c r="H143" s="34" t="s">
        <v>315</v>
      </c>
      <c r="I143" s="35" t="n">
        <v>3.0</v>
      </c>
      <c r="J143" s="35" t="n">
        <v>1.0</v>
      </c>
      <c r="K143" s="37" t="n">
        <v>0.2</v>
      </c>
    </row>
    <row r="144">
      <c r="A144" s="35" t="s">
        <v>49</v>
      </c>
      <c r="B144" s="34" t="s">
        <v>49</v>
      </c>
      <c r="C144" s="35" t="s">
        <v>49</v>
      </c>
      <c r="D144" s="35" t="s">
        <v>53</v>
      </c>
      <c r="E144" s="34" t="s">
        <v>317</v>
      </c>
      <c r="F144" s="35" t="s">
        <v>49</v>
      </c>
      <c r="G144" s="34" t="s">
        <v>319</v>
      </c>
      <c r="H144" s="34" t="s">
        <v>318</v>
      </c>
      <c r="I144" s="35" t="n">
        <v>3.0</v>
      </c>
      <c r="J144" s="35" t="n">
        <v>1.0</v>
      </c>
      <c r="K144" s="37" t="n">
        <v>0.35</v>
      </c>
    </row>
    <row r="145">
      <c r="A145" s="35" t="s">
        <v>320</v>
      </c>
      <c r="B145" s="34" t="s">
        <v>321</v>
      </c>
      <c r="C145" s="35" t="s">
        <v>230</v>
      </c>
      <c r="D145" s="34" t="s">
        <v>49</v>
      </c>
      <c r="E145" s="34" t="s">
        <v>49</v>
      </c>
      <c r="F145" s="34" t="s">
        <v>49</v>
      </c>
      <c r="G145" s="34" t="s">
        <v>49</v>
      </c>
      <c r="H145" s="34" t="s">
        <v>49</v>
      </c>
      <c r="I145" s="34" t="s">
        <v>49</v>
      </c>
      <c r="J145" s="34" t="s">
        <v>49</v>
      </c>
      <c r="K145" s="34" t="s">
        <v>49</v>
      </c>
    </row>
    <row r="146">
      <c r="A146" s="35" t="s">
        <v>49</v>
      </c>
      <c r="B146" s="34" t="s">
        <v>49</v>
      </c>
      <c r="C146" s="35" t="s">
        <v>49</v>
      </c>
      <c r="D146" s="35" t="s">
        <v>53</v>
      </c>
      <c r="E146" s="34" t="s">
        <v>322</v>
      </c>
      <c r="F146" s="35" t="s">
        <v>49</v>
      </c>
      <c r="G146" s="34" t="s">
        <v>324</v>
      </c>
      <c r="H146" s="34" t="s">
        <v>323</v>
      </c>
      <c r="I146" s="35" t="n">
        <v>5.0</v>
      </c>
      <c r="J146" s="35" t="n">
        <v>1.0</v>
      </c>
      <c r="K146" s="37" t="n">
        <v>0.35</v>
      </c>
    </row>
    <row r="147">
      <c r="A147" s="35" t="s">
        <v>49</v>
      </c>
      <c r="B147" s="34" t="s">
        <v>49</v>
      </c>
      <c r="C147" s="35" t="s">
        <v>49</v>
      </c>
      <c r="D147" s="35" t="s">
        <v>53</v>
      </c>
      <c r="E147" s="34" t="s">
        <v>325</v>
      </c>
      <c r="F147" s="35" t="s">
        <v>49</v>
      </c>
      <c r="G147" s="34" t="s">
        <v>327</v>
      </c>
      <c r="H147" s="34" t="s">
        <v>326</v>
      </c>
      <c r="I147" s="35" t="n">
        <v>5.0</v>
      </c>
      <c r="J147" s="35" t="n">
        <v>1.0</v>
      </c>
      <c r="K147" s="37" t="n">
        <v>0.35</v>
      </c>
    </row>
    <row r="148">
      <c r="A148" s="35" t="s">
        <v>49</v>
      </c>
      <c r="B148" s="34" t="s">
        <v>49</v>
      </c>
      <c r="C148" s="35" t="s">
        <v>49</v>
      </c>
      <c r="D148" s="35" t="s">
        <v>53</v>
      </c>
      <c r="E148" s="34" t="s">
        <v>328</v>
      </c>
      <c r="F148" s="35" t="s">
        <v>49</v>
      </c>
      <c r="G148" s="34" t="s">
        <v>330</v>
      </c>
      <c r="H148" s="34" t="s">
        <v>329</v>
      </c>
      <c r="I148" s="35" t="n">
        <v>5.0</v>
      </c>
      <c r="J148" s="35" t="n">
        <v>1.0</v>
      </c>
      <c r="K148" s="37" t="n">
        <v>0.2</v>
      </c>
    </row>
    <row r="149">
      <c r="A149" s="35" t="s">
        <v>49</v>
      </c>
      <c r="B149" s="34" t="s">
        <v>49</v>
      </c>
      <c r="C149" s="35" t="s">
        <v>49</v>
      </c>
      <c r="D149" s="35" t="s">
        <v>53</v>
      </c>
      <c r="E149" s="34" t="s">
        <v>331</v>
      </c>
      <c r="F149" s="35" t="s">
        <v>49</v>
      </c>
      <c r="G149" s="34" t="s">
        <v>333</v>
      </c>
      <c r="H149" s="34" t="s">
        <v>332</v>
      </c>
      <c r="I149" s="35" t="n">
        <v>5.0</v>
      </c>
      <c r="J149" s="35" t="n">
        <v>1.0</v>
      </c>
      <c r="K149" s="37" t="n">
        <v>0.2</v>
      </c>
    </row>
    <row r="150">
      <c r="A150" s="35" t="s">
        <v>49</v>
      </c>
      <c r="B150" s="34" t="s">
        <v>49</v>
      </c>
      <c r="C150" s="35" t="s">
        <v>49</v>
      </c>
      <c r="D150" s="35" t="s">
        <v>53</v>
      </c>
      <c r="E150" s="34" t="s">
        <v>334</v>
      </c>
      <c r="F150" s="35" t="s">
        <v>49</v>
      </c>
      <c r="G150" s="34" t="s">
        <v>336</v>
      </c>
      <c r="H150" s="34" t="s">
        <v>335</v>
      </c>
      <c r="I150" s="35" t="n">
        <v>5.0</v>
      </c>
      <c r="J150" s="35" t="n">
        <v>1.0</v>
      </c>
      <c r="K150" s="37" t="n">
        <v>0.35</v>
      </c>
    </row>
    <row r="151">
      <c r="A151" s="35" t="s">
        <v>49</v>
      </c>
      <c r="B151" s="34" t="s">
        <v>49</v>
      </c>
      <c r="C151" s="35" t="s">
        <v>49</v>
      </c>
      <c r="D151" s="35" t="s">
        <v>53</v>
      </c>
      <c r="E151" s="34" t="s">
        <v>337</v>
      </c>
      <c r="F151" s="35" t="s">
        <v>49</v>
      </c>
      <c r="G151" s="34" t="s">
        <v>339</v>
      </c>
      <c r="H151" s="34" t="s">
        <v>338</v>
      </c>
      <c r="I151" s="35" t="n">
        <v>5.0</v>
      </c>
      <c r="J151" s="35" t="n">
        <v>1.0</v>
      </c>
      <c r="K151" s="37" t="n">
        <v>0.2</v>
      </c>
    </row>
    <row r="152">
      <c r="A152" s="35" t="s">
        <v>49</v>
      </c>
      <c r="B152" s="34" t="s">
        <v>49</v>
      </c>
      <c r="C152" s="35" t="s">
        <v>49</v>
      </c>
      <c r="D152" s="35" t="s">
        <v>53</v>
      </c>
      <c r="E152" s="34" t="s">
        <v>340</v>
      </c>
      <c r="F152" s="35" t="s">
        <v>49</v>
      </c>
      <c r="G152" s="34" t="s">
        <v>342</v>
      </c>
      <c r="H152" s="34" t="s">
        <v>341</v>
      </c>
      <c r="I152" s="35" t="n">
        <v>3.0</v>
      </c>
      <c r="J152" s="35" t="n">
        <v>6.0</v>
      </c>
      <c r="K152" s="37" t="n">
        <v>0.4</v>
      </c>
    </row>
    <row r="153">
      <c r="A153" s="35" t="s">
        <v>49</v>
      </c>
      <c r="B153" s="34" t="s">
        <v>49</v>
      </c>
      <c r="C153" s="35" t="s">
        <v>49</v>
      </c>
      <c r="D153" s="35" t="s">
        <v>53</v>
      </c>
      <c r="E153" s="34" t="s">
        <v>343</v>
      </c>
      <c r="F153" s="35" t="s">
        <v>49</v>
      </c>
      <c r="G153" s="34" t="s">
        <v>345</v>
      </c>
      <c r="H153" s="34" t="s">
        <v>344</v>
      </c>
      <c r="I153" s="35" t="n">
        <v>5.0</v>
      </c>
      <c r="J153" s="35" t="n">
        <v>2.0</v>
      </c>
      <c r="K153" s="37" t="n">
        <v>1.05</v>
      </c>
    </row>
    <row r="154">
      <c r="A154" s="35" t="s">
        <v>49</v>
      </c>
      <c r="B154" s="34" t="s">
        <v>49</v>
      </c>
      <c r="C154" s="35" t="s">
        <v>49</v>
      </c>
      <c r="D154" s="35" t="s">
        <v>53</v>
      </c>
      <c r="E154" s="34" t="s">
        <v>346</v>
      </c>
      <c r="F154" s="35" t="s">
        <v>49</v>
      </c>
      <c r="G154" s="34" t="s">
        <v>348</v>
      </c>
      <c r="H154" s="34" t="s">
        <v>347</v>
      </c>
      <c r="I154" s="35" t="n">
        <v>3.0</v>
      </c>
      <c r="J154" s="35" t="n">
        <v>1.0</v>
      </c>
      <c r="K154" s="37" t="n">
        <v>0.2</v>
      </c>
    </row>
    <row r="155">
      <c r="A155" s="35" t="s">
        <v>49</v>
      </c>
      <c r="B155" s="34" t="s">
        <v>49</v>
      </c>
      <c r="C155" s="35" t="s">
        <v>49</v>
      </c>
      <c r="D155" s="35" t="s">
        <v>53</v>
      </c>
      <c r="E155" s="34" t="s">
        <v>349</v>
      </c>
      <c r="F155" s="35" t="s">
        <v>49</v>
      </c>
      <c r="G155" s="34" t="s">
        <v>351</v>
      </c>
      <c r="H155" s="34" t="s">
        <v>350</v>
      </c>
      <c r="I155" s="35" t="n">
        <v>1.0</v>
      </c>
      <c r="J155" s="35" t="n">
        <v>5.0</v>
      </c>
      <c r="K155" s="37" t="n">
        <v>0.8</v>
      </c>
    </row>
    <row r="156">
      <c r="A156" s="35" t="s">
        <v>352</v>
      </c>
      <c r="B156" s="34" t="s">
        <v>353</v>
      </c>
      <c r="C156" s="35" t="s">
        <v>230</v>
      </c>
      <c r="D156" s="34" t="s">
        <v>49</v>
      </c>
      <c r="E156" s="34" t="s">
        <v>49</v>
      </c>
      <c r="F156" s="34" t="s">
        <v>49</v>
      </c>
      <c r="G156" s="34" t="s">
        <v>49</v>
      </c>
      <c r="H156" s="34" t="s">
        <v>49</v>
      </c>
      <c r="I156" s="34" t="s">
        <v>49</v>
      </c>
      <c r="J156" s="34" t="s">
        <v>49</v>
      </c>
      <c r="K156" s="34" t="s">
        <v>49</v>
      </c>
    </row>
    <row r="157">
      <c r="A157" s="35" t="s">
        <v>49</v>
      </c>
      <c r="B157" s="34" t="s">
        <v>49</v>
      </c>
      <c r="C157" s="35" t="s">
        <v>49</v>
      </c>
      <c r="D157" s="35" t="s">
        <v>53</v>
      </c>
      <c r="E157" s="34" t="s">
        <v>354</v>
      </c>
      <c r="F157" s="35" t="s">
        <v>49</v>
      </c>
      <c r="G157" s="34" t="s">
        <v>356</v>
      </c>
      <c r="H157" s="34" t="s">
        <v>355</v>
      </c>
      <c r="I157" s="35" t="n">
        <v>5.0</v>
      </c>
      <c r="J157" s="35" t="n">
        <v>1.0</v>
      </c>
      <c r="K157" s="37" t="n">
        <v>0.7</v>
      </c>
    </row>
    <row r="158">
      <c r="A158" s="35" t="s">
        <v>49</v>
      </c>
      <c r="B158" s="34" t="s">
        <v>49</v>
      </c>
      <c r="C158" s="35" t="s">
        <v>49</v>
      </c>
      <c r="D158" s="35" t="s">
        <v>53</v>
      </c>
      <c r="E158" s="34" t="s">
        <v>357</v>
      </c>
      <c r="F158" s="35" t="s">
        <v>49</v>
      </c>
      <c r="G158" s="34" t="s">
        <v>359</v>
      </c>
      <c r="H158" s="34" t="s">
        <v>358</v>
      </c>
      <c r="I158" s="35" t="n">
        <v>3.0</v>
      </c>
      <c r="J158" s="35" t="n">
        <v>1.0</v>
      </c>
      <c r="K158" s="37" t="n">
        <v>0.35</v>
      </c>
    </row>
    <row r="159">
      <c r="A159" s="35" t="s">
        <v>49</v>
      </c>
      <c r="B159" s="34" t="s">
        <v>49</v>
      </c>
      <c r="C159" s="35" t="s">
        <v>49</v>
      </c>
      <c r="D159" s="35" t="s">
        <v>53</v>
      </c>
      <c r="E159" s="34" t="s">
        <v>360</v>
      </c>
      <c r="F159" s="35" t="s">
        <v>49</v>
      </c>
      <c r="G159" s="34" t="s">
        <v>362</v>
      </c>
      <c r="H159" s="34" t="s">
        <v>361</v>
      </c>
      <c r="I159" s="35" t="n">
        <v>5.0</v>
      </c>
      <c r="J159" s="35" t="n">
        <v>6.0</v>
      </c>
      <c r="K159" s="37" t="n">
        <v>0.4</v>
      </c>
    </row>
    <row r="160">
      <c r="A160" s="35" t="s">
        <v>49</v>
      </c>
      <c r="B160" s="34" t="s">
        <v>49</v>
      </c>
      <c r="C160" s="35" t="s">
        <v>49</v>
      </c>
      <c r="D160" s="35" t="s">
        <v>53</v>
      </c>
      <c r="E160" s="34" t="s">
        <v>363</v>
      </c>
      <c r="F160" s="35" t="s">
        <v>49</v>
      </c>
      <c r="G160" s="34" t="s">
        <v>365</v>
      </c>
      <c r="H160" s="34" t="s">
        <v>364</v>
      </c>
      <c r="I160" s="35" t="n">
        <v>3.0</v>
      </c>
      <c r="J160" s="35" t="n">
        <v>2.0</v>
      </c>
      <c r="K160" s="37" t="n">
        <v>0.6</v>
      </c>
    </row>
    <row r="161">
      <c r="A161" s="35" t="s">
        <v>49</v>
      </c>
      <c r="B161" s="34" t="s">
        <v>49</v>
      </c>
      <c r="C161" s="35" t="s">
        <v>49</v>
      </c>
      <c r="D161" s="35" t="s">
        <v>53</v>
      </c>
      <c r="E161" s="34" t="s">
        <v>366</v>
      </c>
      <c r="F161" s="35" t="s">
        <v>49</v>
      </c>
      <c r="G161" s="34" t="s">
        <v>368</v>
      </c>
      <c r="H161" s="34" t="s">
        <v>367</v>
      </c>
      <c r="I161" s="35" t="n">
        <v>5.0</v>
      </c>
      <c r="J161" s="35" t="n">
        <v>1.0</v>
      </c>
      <c r="K161" s="37" t="n">
        <v>0.7</v>
      </c>
    </row>
    <row r="162">
      <c r="A162" s="35" t="s">
        <v>49</v>
      </c>
      <c r="B162" s="34" t="s">
        <v>49</v>
      </c>
      <c r="C162" s="35" t="s">
        <v>49</v>
      </c>
      <c r="D162" s="35" t="s">
        <v>53</v>
      </c>
      <c r="E162" s="34" t="s">
        <v>369</v>
      </c>
      <c r="F162" s="35" t="s">
        <v>49</v>
      </c>
      <c r="G162" s="34" t="s">
        <v>371</v>
      </c>
      <c r="H162" s="34" t="s">
        <v>370</v>
      </c>
      <c r="I162" s="35" t="n">
        <v>5.0</v>
      </c>
      <c r="J162" s="35" t="n">
        <v>1.0</v>
      </c>
      <c r="K162" s="37" t="n">
        <v>0.35</v>
      </c>
    </row>
    <row r="163">
      <c r="A163" s="35" t="s">
        <v>49</v>
      </c>
      <c r="B163" s="34" t="s">
        <v>49</v>
      </c>
      <c r="C163" s="35" t="s">
        <v>49</v>
      </c>
      <c r="D163" s="35" t="s">
        <v>53</v>
      </c>
      <c r="E163" s="34" t="s">
        <v>372</v>
      </c>
      <c r="F163" s="35" t="s">
        <v>49</v>
      </c>
      <c r="G163" s="34" t="s">
        <v>374</v>
      </c>
      <c r="H163" s="34" t="s">
        <v>373</v>
      </c>
      <c r="I163" s="35" t="n">
        <v>3.0</v>
      </c>
      <c r="J163" s="35" t="n">
        <v>6.0</v>
      </c>
      <c r="K163" s="37" t="n">
        <v>0.7</v>
      </c>
    </row>
    <row r="164">
      <c r="A164" s="35" t="s">
        <v>49</v>
      </c>
      <c r="B164" s="34" t="s">
        <v>49</v>
      </c>
      <c r="C164" s="35" t="s">
        <v>49</v>
      </c>
      <c r="D164" s="35" t="s">
        <v>53</v>
      </c>
      <c r="E164" s="34" t="s">
        <v>375</v>
      </c>
      <c r="F164" s="35" t="s">
        <v>49</v>
      </c>
      <c r="G164" s="34" t="s">
        <v>377</v>
      </c>
      <c r="H164" s="34" t="s">
        <v>376</v>
      </c>
      <c r="I164" s="35" t="n">
        <v>3.0</v>
      </c>
      <c r="J164" s="35" t="n">
        <v>1.0</v>
      </c>
      <c r="K164" s="37" t="n">
        <v>0.2</v>
      </c>
    </row>
    <row r="165">
      <c r="A165" s="35" t="s">
        <v>49</v>
      </c>
      <c r="B165" s="34" t="s">
        <v>49</v>
      </c>
      <c r="C165" s="35" t="s">
        <v>49</v>
      </c>
      <c r="D165" s="35" t="s">
        <v>53</v>
      </c>
      <c r="E165" s="34" t="s">
        <v>378</v>
      </c>
      <c r="F165" s="35" t="s">
        <v>49</v>
      </c>
      <c r="G165" s="34" t="s">
        <v>380</v>
      </c>
      <c r="H165" s="34" t="s">
        <v>379</v>
      </c>
      <c r="I165" s="35" t="n">
        <v>5.0</v>
      </c>
      <c r="J165" s="35" t="n">
        <v>1.0</v>
      </c>
      <c r="K165" s="37" t="n">
        <v>0.2</v>
      </c>
    </row>
    <row r="166">
      <c r="A166" s="35" t="s">
        <v>49</v>
      </c>
      <c r="B166" s="34" t="s">
        <v>49</v>
      </c>
      <c r="C166" s="35" t="s">
        <v>49</v>
      </c>
      <c r="D166" s="35" t="s">
        <v>53</v>
      </c>
      <c r="E166" s="34" t="s">
        <v>381</v>
      </c>
      <c r="F166" s="35" t="s">
        <v>49</v>
      </c>
      <c r="G166" s="34" t="s">
        <v>383</v>
      </c>
      <c r="H166" s="34" t="s">
        <v>382</v>
      </c>
      <c r="I166" s="35" t="n">
        <v>5.0</v>
      </c>
      <c r="J166" s="35" t="n">
        <v>6.0</v>
      </c>
      <c r="K166" s="37" t="n">
        <v>0.7</v>
      </c>
    </row>
    <row r="167">
      <c r="A167" s="35" t="s">
        <v>49</v>
      </c>
      <c r="B167" s="34" t="s">
        <v>49</v>
      </c>
      <c r="C167" s="35" t="s">
        <v>49</v>
      </c>
      <c r="D167" s="35" t="s">
        <v>53</v>
      </c>
      <c r="E167" s="34" t="s">
        <v>384</v>
      </c>
      <c r="F167" s="35" t="s">
        <v>49</v>
      </c>
      <c r="G167" s="34" t="s">
        <v>386</v>
      </c>
      <c r="H167" s="34" t="s">
        <v>385</v>
      </c>
      <c r="I167" s="35" t="n">
        <v>3.0</v>
      </c>
      <c r="J167" s="35" t="n">
        <v>1.0</v>
      </c>
      <c r="K167" s="37" t="n">
        <v>0.35</v>
      </c>
    </row>
    <row r="168">
      <c r="A168" s="35" t="s">
        <v>49</v>
      </c>
      <c r="B168" s="34" t="s">
        <v>49</v>
      </c>
      <c r="C168" s="35" t="s">
        <v>49</v>
      </c>
      <c r="D168" s="35" t="s">
        <v>53</v>
      </c>
      <c r="E168" s="34" t="s">
        <v>387</v>
      </c>
      <c r="F168" s="35" t="s">
        <v>49</v>
      </c>
      <c r="G168" s="34" t="s">
        <v>389</v>
      </c>
      <c r="H168" s="34" t="s">
        <v>388</v>
      </c>
      <c r="I168" s="35" t="n">
        <v>5.0</v>
      </c>
      <c r="J168" s="35" t="n">
        <v>1.0</v>
      </c>
      <c r="K168" s="37" t="n">
        <v>0.2</v>
      </c>
    </row>
    <row r="169">
      <c r="A169" s="35" t="s">
        <v>49</v>
      </c>
      <c r="B169" s="34" t="s">
        <v>49</v>
      </c>
      <c r="C169" s="35" t="s">
        <v>49</v>
      </c>
      <c r="D169" s="35" t="s">
        <v>53</v>
      </c>
      <c r="E169" s="34" t="s">
        <v>390</v>
      </c>
      <c r="F169" s="35" t="s">
        <v>49</v>
      </c>
      <c r="G169" s="34" t="s">
        <v>392</v>
      </c>
      <c r="H169" s="34" t="s">
        <v>391</v>
      </c>
      <c r="I169" s="35" t="n">
        <v>1.0</v>
      </c>
      <c r="J169" s="35" t="n">
        <v>5.0</v>
      </c>
      <c r="K169" s="37" t="n">
        <v>0.8</v>
      </c>
    </row>
    <row r="170">
      <c r="A170" s="35" t="s">
        <v>49</v>
      </c>
      <c r="B170" s="34" t="s">
        <v>49</v>
      </c>
      <c r="C170" s="35" t="s">
        <v>49</v>
      </c>
      <c r="D170" s="35" t="s">
        <v>49</v>
      </c>
      <c r="E170" s="34" t="s">
        <v>49</v>
      </c>
      <c r="F170" s="35" t="s">
        <v>49</v>
      </c>
      <c r="G170" s="34" t="s">
        <v>49</v>
      </c>
      <c r="H170" s="34" t="s">
        <v>49</v>
      </c>
      <c r="I170" s="35"/>
      <c r="J170" s="35"/>
      <c r="K170" s="37"/>
    </row>
    <row r="171">
      <c r="A171" s="35" t="s">
        <v>49</v>
      </c>
      <c r="B171" s="34" t="s">
        <v>49</v>
      </c>
      <c r="C171" s="35" t="s">
        <v>49</v>
      </c>
      <c r="D171" s="35" t="s">
        <v>49</v>
      </c>
      <c r="E171" s="34" t="s">
        <v>49</v>
      </c>
      <c r="F171" s="35" t="s">
        <v>49</v>
      </c>
      <c r="G171" s="34" t="s">
        <v>49</v>
      </c>
      <c r="H171" s="34" t="s">
        <v>49</v>
      </c>
      <c r="I171" s="35"/>
      <c r="J171" s="35"/>
      <c r="K171" s="37"/>
    </row>
    <row r="172">
      <c r="A172" s="86" t="s">
        <v>15</v>
      </c>
      <c r="B172" s="87" t="s">
        <v>16</v>
      </c>
      <c r="C172" s="88" t="s">
        <v>10</v>
      </c>
      <c r="D172" s="89" t="s">
        <v>6</v>
      </c>
      <c r="E172" s="90" t="s">
        <v>1</v>
      </c>
      <c r="F172" s="91" t="s">
        <v>2</v>
      </c>
      <c r="G172" s="92" t="s">
        <v>8</v>
      </c>
      <c r="H172" s="93" t="s">
        <v>9</v>
      </c>
      <c r="I172" s="94" t="s">
        <v>23</v>
      </c>
      <c r="J172" s="95" t="s">
        <v>11</v>
      </c>
      <c r="K172" s="96" t="s">
        <v>3</v>
      </c>
      <c r="L172" s="97" t="s">
        <v>393</v>
      </c>
      <c r="M172" s="98" t="s">
        <v>4</v>
      </c>
      <c r="N172" s="99">
        <f>SUM(K173:K208)</f>
      </c>
    </row>
    <row r="173">
      <c r="A173" s="35" t="s">
        <v>394</v>
      </c>
      <c r="B173" s="34" t="s">
        <v>395</v>
      </c>
      <c r="C173" s="35" t="s">
        <v>396</v>
      </c>
      <c r="D173" s="34" t="s">
        <v>49</v>
      </c>
      <c r="E173" s="34" t="s">
        <v>49</v>
      </c>
      <c r="F173" s="34" t="s">
        <v>49</v>
      </c>
      <c r="G173" s="34" t="s">
        <v>49</v>
      </c>
      <c r="H173" s="34" t="s">
        <v>49</v>
      </c>
      <c r="I173" s="34" t="s">
        <v>49</v>
      </c>
      <c r="J173" s="34" t="s">
        <v>49</v>
      </c>
      <c r="K173" s="34" t="s">
        <v>49</v>
      </c>
    </row>
    <row r="174">
      <c r="A174" s="35" t="s">
        <v>49</v>
      </c>
      <c r="B174" s="34" t="s">
        <v>49</v>
      </c>
      <c r="C174" s="35" t="s">
        <v>49</v>
      </c>
      <c r="D174" s="35" t="s">
        <v>53</v>
      </c>
      <c r="E174" s="34" t="s">
        <v>397</v>
      </c>
      <c r="F174" s="35" t="s">
        <v>49</v>
      </c>
      <c r="G174" s="34" t="s">
        <v>399</v>
      </c>
      <c r="H174" s="34" t="s">
        <v>398</v>
      </c>
      <c r="I174" s="35" t="n">
        <v>4.0</v>
      </c>
      <c r="J174" s="35" t="n">
        <v>1.0</v>
      </c>
      <c r="K174" s="37" t="n">
        <v>0.8</v>
      </c>
    </row>
    <row r="175">
      <c r="A175" s="35" t="s">
        <v>49</v>
      </c>
      <c r="B175" s="34" t="s">
        <v>49</v>
      </c>
      <c r="C175" s="35" t="s">
        <v>49</v>
      </c>
      <c r="D175" s="35" t="s">
        <v>53</v>
      </c>
      <c r="E175" s="34" t="s">
        <v>400</v>
      </c>
      <c r="F175" s="35" t="s">
        <v>49</v>
      </c>
      <c r="G175" s="34" t="s">
        <v>402</v>
      </c>
      <c r="H175" s="34" t="s">
        <v>401</v>
      </c>
      <c r="I175" s="35" t="n">
        <v>4.0</v>
      </c>
      <c r="J175" s="35" t="n">
        <v>4.0</v>
      </c>
      <c r="K175" s="37" t="n">
        <v>2.0</v>
      </c>
    </row>
    <row r="176">
      <c r="A176" s="35" t="s">
        <v>49</v>
      </c>
      <c r="B176" s="34" t="s">
        <v>49</v>
      </c>
      <c r="C176" s="35" t="s">
        <v>49</v>
      </c>
      <c r="D176" s="35" t="s">
        <v>53</v>
      </c>
      <c r="E176" s="34" t="s">
        <v>403</v>
      </c>
      <c r="F176" s="35" t="s">
        <v>49</v>
      </c>
      <c r="G176" s="34" t="s">
        <v>405</v>
      </c>
      <c r="H176" s="34" t="s">
        <v>404</v>
      </c>
      <c r="I176" s="35" t="n">
        <v>4.0</v>
      </c>
      <c r="J176" s="35" t="n">
        <v>2.0</v>
      </c>
      <c r="K176" s="37" t="n">
        <v>0.6</v>
      </c>
    </row>
    <row r="177">
      <c r="A177" s="35" t="s">
        <v>49</v>
      </c>
      <c r="B177" s="34" t="s">
        <v>49</v>
      </c>
      <c r="C177" s="35" t="s">
        <v>49</v>
      </c>
      <c r="D177" s="35" t="s">
        <v>53</v>
      </c>
      <c r="E177" s="34" t="s">
        <v>406</v>
      </c>
      <c r="F177" s="35" t="s">
        <v>49</v>
      </c>
      <c r="G177" s="34" t="s">
        <v>408</v>
      </c>
      <c r="H177" s="34" t="s">
        <v>407</v>
      </c>
      <c r="I177" s="35" t="n">
        <v>4.0</v>
      </c>
      <c r="J177" s="35" t="n">
        <v>1.0</v>
      </c>
      <c r="K177" s="37" t="n">
        <v>0.15</v>
      </c>
    </row>
    <row r="178">
      <c r="A178" s="35" t="s">
        <v>49</v>
      </c>
      <c r="B178" s="34" t="s">
        <v>49</v>
      </c>
      <c r="C178" s="35" t="s">
        <v>49</v>
      </c>
      <c r="D178" s="35" t="s">
        <v>53</v>
      </c>
      <c r="E178" s="34" t="s">
        <v>409</v>
      </c>
      <c r="F178" s="35" t="s">
        <v>49</v>
      </c>
      <c r="G178" s="34" t="s">
        <v>411</v>
      </c>
      <c r="H178" s="34" t="s">
        <v>410</v>
      </c>
      <c r="I178" s="35" t="n">
        <v>4.0</v>
      </c>
      <c r="J178" s="35" t="n">
        <v>1.0</v>
      </c>
      <c r="K178" s="37" t="n">
        <v>0.35</v>
      </c>
    </row>
    <row r="179">
      <c r="A179" s="35" t="s">
        <v>49</v>
      </c>
      <c r="B179" s="34" t="s">
        <v>49</v>
      </c>
      <c r="C179" s="35" t="s">
        <v>49</v>
      </c>
      <c r="D179" s="35" t="s">
        <v>53</v>
      </c>
      <c r="E179" s="34" t="s">
        <v>412</v>
      </c>
      <c r="F179" s="35" t="s">
        <v>49</v>
      </c>
      <c r="G179" s="34" t="s">
        <v>414</v>
      </c>
      <c r="H179" s="34" t="s">
        <v>413</v>
      </c>
      <c r="I179" s="35" t="n">
        <v>4.0</v>
      </c>
      <c r="J179" s="35" t="n">
        <v>1.0</v>
      </c>
      <c r="K179" s="37" t="n">
        <v>0.7</v>
      </c>
    </row>
    <row r="180">
      <c r="A180" s="35" t="s">
        <v>49</v>
      </c>
      <c r="B180" s="34" t="s">
        <v>49</v>
      </c>
      <c r="C180" s="35" t="s">
        <v>49</v>
      </c>
      <c r="D180" s="35" t="s">
        <v>53</v>
      </c>
      <c r="E180" s="34" t="s">
        <v>415</v>
      </c>
      <c r="F180" s="35" t="s">
        <v>49</v>
      </c>
      <c r="G180" s="34" t="s">
        <v>417</v>
      </c>
      <c r="H180" s="34" t="s">
        <v>416</v>
      </c>
      <c r="I180" s="35" t="n">
        <v>4.0</v>
      </c>
      <c r="J180" s="35" t="n">
        <v>2.0</v>
      </c>
      <c r="K180" s="37" t="n">
        <v>0.6</v>
      </c>
    </row>
    <row r="181">
      <c r="A181" s="35" t="s">
        <v>418</v>
      </c>
      <c r="B181" s="34" t="s">
        <v>419</v>
      </c>
      <c r="C181" s="35" t="s">
        <v>396</v>
      </c>
      <c r="D181" s="34" t="s">
        <v>49</v>
      </c>
      <c r="E181" s="34" t="s">
        <v>49</v>
      </c>
      <c r="F181" s="34" t="s">
        <v>49</v>
      </c>
      <c r="G181" s="34" t="s">
        <v>49</v>
      </c>
      <c r="H181" s="34" t="s">
        <v>49</v>
      </c>
      <c r="I181" s="34" t="s">
        <v>49</v>
      </c>
      <c r="J181" s="34" t="s">
        <v>49</v>
      </c>
      <c r="K181" s="34" t="s">
        <v>49</v>
      </c>
    </row>
    <row r="182">
      <c r="A182" s="35" t="s">
        <v>49</v>
      </c>
      <c r="B182" s="34" t="s">
        <v>49</v>
      </c>
      <c r="C182" s="35" t="s">
        <v>49</v>
      </c>
      <c r="D182" s="35" t="s">
        <v>53</v>
      </c>
      <c r="E182" s="34" t="s">
        <v>420</v>
      </c>
      <c r="F182" s="35" t="s">
        <v>49</v>
      </c>
      <c r="G182" s="34" t="s">
        <v>422</v>
      </c>
      <c r="H182" s="34" t="s">
        <v>421</v>
      </c>
      <c r="I182" s="35" t="n">
        <v>2.0</v>
      </c>
      <c r="J182" s="35" t="n">
        <v>6.0</v>
      </c>
      <c r="K182" s="37" t="n">
        <v>0.4</v>
      </c>
    </row>
    <row r="183">
      <c r="A183" s="35" t="s">
        <v>49</v>
      </c>
      <c r="B183" s="34" t="s">
        <v>49</v>
      </c>
      <c r="C183" s="35" t="s">
        <v>49</v>
      </c>
      <c r="D183" s="35" t="s">
        <v>53</v>
      </c>
      <c r="E183" s="34" t="s">
        <v>423</v>
      </c>
      <c r="F183" s="35" t="s">
        <v>49</v>
      </c>
      <c r="G183" s="34" t="s">
        <v>425</v>
      </c>
      <c r="H183" s="34" t="s">
        <v>424</v>
      </c>
      <c r="I183" s="35" t="n">
        <v>4.0</v>
      </c>
      <c r="J183" s="35" t="n">
        <v>6.0</v>
      </c>
      <c r="K183" s="37" t="n">
        <v>0.7</v>
      </c>
    </row>
    <row r="184">
      <c r="A184" s="35" t="s">
        <v>49</v>
      </c>
      <c r="B184" s="34" t="s">
        <v>49</v>
      </c>
      <c r="C184" s="35" t="s">
        <v>49</v>
      </c>
      <c r="D184" s="35" t="s">
        <v>53</v>
      </c>
      <c r="E184" s="34" t="s">
        <v>426</v>
      </c>
      <c r="F184" s="35" t="s">
        <v>49</v>
      </c>
      <c r="G184" s="34" t="s">
        <v>428</v>
      </c>
      <c r="H184" s="34" t="s">
        <v>427</v>
      </c>
      <c r="I184" s="35" t="n">
        <v>2.0</v>
      </c>
      <c r="J184" s="35" t="n">
        <v>1.0</v>
      </c>
      <c r="K184" s="37" t="n">
        <v>0.45</v>
      </c>
    </row>
    <row r="185">
      <c r="A185" s="35" t="s">
        <v>429</v>
      </c>
      <c r="B185" s="34" t="s">
        <v>430</v>
      </c>
      <c r="C185" s="35" t="s">
        <v>396</v>
      </c>
      <c r="D185" s="34" t="s">
        <v>49</v>
      </c>
      <c r="E185" s="34" t="s">
        <v>49</v>
      </c>
      <c r="F185" s="34" t="s">
        <v>49</v>
      </c>
      <c r="G185" s="34" t="s">
        <v>49</v>
      </c>
      <c r="H185" s="34" t="s">
        <v>49</v>
      </c>
      <c r="I185" s="34" t="s">
        <v>49</v>
      </c>
      <c r="J185" s="34" t="s">
        <v>49</v>
      </c>
      <c r="K185" s="34" t="s">
        <v>49</v>
      </c>
    </row>
    <row r="186">
      <c r="A186" s="35" t="s">
        <v>49</v>
      </c>
      <c r="B186" s="34" t="s">
        <v>49</v>
      </c>
      <c r="C186" s="35" t="s">
        <v>49</v>
      </c>
      <c r="D186" s="35" t="s">
        <v>53</v>
      </c>
      <c r="E186" s="34" t="s">
        <v>431</v>
      </c>
      <c r="F186" s="35" t="s">
        <v>49</v>
      </c>
      <c r="G186" s="34" t="s">
        <v>433</v>
      </c>
      <c r="H186" s="34" t="s">
        <v>432</v>
      </c>
      <c r="I186" s="35" t="n">
        <v>4.0</v>
      </c>
      <c r="J186" s="35" t="n">
        <v>1.0</v>
      </c>
      <c r="K186" s="37" t="n">
        <v>0.2</v>
      </c>
    </row>
    <row r="187">
      <c r="A187" s="35" t="s">
        <v>49</v>
      </c>
      <c r="B187" s="34" t="s">
        <v>49</v>
      </c>
      <c r="C187" s="35" t="s">
        <v>49</v>
      </c>
      <c r="D187" s="35" t="s">
        <v>53</v>
      </c>
      <c r="E187" s="34" t="s">
        <v>434</v>
      </c>
      <c r="F187" s="35" t="s">
        <v>49</v>
      </c>
      <c r="G187" s="34" t="s">
        <v>436</v>
      </c>
      <c r="H187" s="34" t="s">
        <v>435</v>
      </c>
      <c r="I187" s="35" t="n">
        <v>4.0</v>
      </c>
      <c r="J187" s="35" t="n">
        <v>1.0</v>
      </c>
      <c r="K187" s="37" t="n">
        <v>0.15</v>
      </c>
    </row>
    <row r="188">
      <c r="A188" s="35" t="s">
        <v>49</v>
      </c>
      <c r="B188" s="34" t="s">
        <v>49</v>
      </c>
      <c r="C188" s="35" t="s">
        <v>49</v>
      </c>
      <c r="D188" s="35" t="s">
        <v>53</v>
      </c>
      <c r="E188" s="34" t="s">
        <v>437</v>
      </c>
      <c r="F188" s="35" t="s">
        <v>49</v>
      </c>
      <c r="G188" s="34" t="s">
        <v>439</v>
      </c>
      <c r="H188" s="34" t="s">
        <v>438</v>
      </c>
      <c r="I188" s="35" t="n">
        <v>4.0</v>
      </c>
      <c r="J188" s="35" t="n">
        <v>1.0</v>
      </c>
      <c r="K188" s="37" t="n">
        <v>0.7</v>
      </c>
    </row>
    <row r="189">
      <c r="A189" s="35" t="s">
        <v>49</v>
      </c>
      <c r="B189" s="34" t="s">
        <v>49</v>
      </c>
      <c r="C189" s="35" t="s">
        <v>49</v>
      </c>
      <c r="D189" s="35" t="s">
        <v>53</v>
      </c>
      <c r="E189" s="34" t="s">
        <v>440</v>
      </c>
      <c r="F189" s="35" t="s">
        <v>49</v>
      </c>
      <c r="G189" s="34" t="s">
        <v>442</v>
      </c>
      <c r="H189" s="34" t="s">
        <v>441</v>
      </c>
      <c r="I189" s="35" t="n">
        <v>4.0</v>
      </c>
      <c r="J189" s="35" t="n">
        <v>1.0</v>
      </c>
      <c r="K189" s="37" t="n">
        <v>0.7</v>
      </c>
    </row>
    <row r="190">
      <c r="A190" s="35" t="s">
        <v>49</v>
      </c>
      <c r="B190" s="34" t="s">
        <v>49</v>
      </c>
      <c r="C190" s="35" t="s">
        <v>49</v>
      </c>
      <c r="D190" s="35" t="s">
        <v>53</v>
      </c>
      <c r="E190" s="34" t="s">
        <v>443</v>
      </c>
      <c r="F190" s="35" t="s">
        <v>49</v>
      </c>
      <c r="G190" s="34" t="s">
        <v>445</v>
      </c>
      <c r="H190" s="34" t="s">
        <v>444</v>
      </c>
      <c r="I190" s="35" t="n">
        <v>4.0</v>
      </c>
      <c r="J190" s="35" t="n">
        <v>1.0</v>
      </c>
      <c r="K190" s="37" t="n">
        <v>0.2</v>
      </c>
    </row>
    <row r="191">
      <c r="A191" s="35" t="s">
        <v>49</v>
      </c>
      <c r="B191" s="34" t="s">
        <v>49</v>
      </c>
      <c r="C191" s="35" t="s">
        <v>49</v>
      </c>
      <c r="D191" s="35" t="s">
        <v>53</v>
      </c>
      <c r="E191" s="34" t="s">
        <v>446</v>
      </c>
      <c r="F191" s="35" t="s">
        <v>49</v>
      </c>
      <c r="G191" s="34" t="s">
        <v>448</v>
      </c>
      <c r="H191" s="34" t="s">
        <v>447</v>
      </c>
      <c r="I191" s="35" t="n">
        <v>4.0</v>
      </c>
      <c r="J191" s="35" t="n">
        <v>1.0</v>
      </c>
      <c r="K191" s="37" t="n">
        <v>0.35</v>
      </c>
    </row>
    <row r="192">
      <c r="A192" s="35" t="s">
        <v>49</v>
      </c>
      <c r="B192" s="34" t="s">
        <v>49</v>
      </c>
      <c r="C192" s="35" t="s">
        <v>49</v>
      </c>
      <c r="D192" s="35" t="s">
        <v>53</v>
      </c>
      <c r="E192" s="34" t="s">
        <v>449</v>
      </c>
      <c r="F192" s="35" t="s">
        <v>49</v>
      </c>
      <c r="G192" s="34" t="s">
        <v>451</v>
      </c>
      <c r="H192" s="34" t="s">
        <v>450</v>
      </c>
      <c r="I192" s="35" t="n">
        <v>4.0</v>
      </c>
      <c r="J192" s="35" t="n">
        <v>1.0</v>
      </c>
      <c r="K192" s="37" t="n">
        <v>0.2</v>
      </c>
    </row>
    <row r="193">
      <c r="A193" s="35" t="s">
        <v>452</v>
      </c>
      <c r="B193" s="34" t="s">
        <v>453</v>
      </c>
      <c r="C193" s="35" t="s">
        <v>396</v>
      </c>
      <c r="D193" s="34" t="s">
        <v>49</v>
      </c>
      <c r="E193" s="34" t="s">
        <v>49</v>
      </c>
      <c r="F193" s="34" t="s">
        <v>49</v>
      </c>
      <c r="G193" s="34" t="s">
        <v>49</v>
      </c>
      <c r="H193" s="34" t="s">
        <v>49</v>
      </c>
      <c r="I193" s="34" t="s">
        <v>49</v>
      </c>
      <c r="J193" s="34" t="s">
        <v>49</v>
      </c>
      <c r="K193" s="34" t="s">
        <v>49</v>
      </c>
    </row>
    <row r="194">
      <c r="A194" s="35" t="s">
        <v>49</v>
      </c>
      <c r="B194" s="34" t="s">
        <v>49</v>
      </c>
      <c r="C194" s="35" t="s">
        <v>49</v>
      </c>
      <c r="D194" s="35" t="s">
        <v>53</v>
      </c>
      <c r="E194" s="34" t="s">
        <v>454</v>
      </c>
      <c r="F194" s="35" t="s">
        <v>49</v>
      </c>
      <c r="G194" s="34" t="s">
        <v>456</v>
      </c>
      <c r="H194" s="34" t="s">
        <v>455</v>
      </c>
      <c r="I194" s="35" t="n">
        <v>4.0</v>
      </c>
      <c r="J194" s="35" t="n">
        <v>1.0</v>
      </c>
      <c r="K194" s="37" t="n">
        <v>0.15</v>
      </c>
    </row>
    <row r="195">
      <c r="A195" s="35" t="s">
        <v>49</v>
      </c>
      <c r="B195" s="34" t="s">
        <v>49</v>
      </c>
      <c r="C195" s="35" t="s">
        <v>49</v>
      </c>
      <c r="D195" s="35" t="s">
        <v>53</v>
      </c>
      <c r="E195" s="34" t="s">
        <v>457</v>
      </c>
      <c r="F195" s="35" t="s">
        <v>49</v>
      </c>
      <c r="G195" s="34" t="s">
        <v>459</v>
      </c>
      <c r="H195" s="34" t="s">
        <v>458</v>
      </c>
      <c r="I195" s="35" t="n">
        <v>4.0</v>
      </c>
      <c r="J195" s="35" t="n">
        <v>6.0</v>
      </c>
      <c r="K195" s="37" t="n">
        <v>0.7</v>
      </c>
    </row>
    <row r="196">
      <c r="A196" s="35" t="s">
        <v>49</v>
      </c>
      <c r="B196" s="34" t="s">
        <v>49</v>
      </c>
      <c r="C196" s="35" t="s">
        <v>49</v>
      </c>
      <c r="D196" s="35" t="s">
        <v>53</v>
      </c>
      <c r="E196" s="34" t="s">
        <v>460</v>
      </c>
      <c r="F196" s="35" t="s">
        <v>49</v>
      </c>
      <c r="G196" s="34" t="s">
        <v>462</v>
      </c>
      <c r="H196" s="34" t="s">
        <v>461</v>
      </c>
      <c r="I196" s="35" t="n">
        <v>4.0</v>
      </c>
      <c r="J196" s="35" t="n">
        <v>6.0</v>
      </c>
      <c r="K196" s="37" t="n">
        <v>0.4</v>
      </c>
    </row>
    <row r="197">
      <c r="A197" s="35" t="s">
        <v>49</v>
      </c>
      <c r="B197" s="34" t="s">
        <v>49</v>
      </c>
      <c r="C197" s="35" t="s">
        <v>49</v>
      </c>
      <c r="D197" s="35" t="s">
        <v>53</v>
      </c>
      <c r="E197" s="34" t="s">
        <v>463</v>
      </c>
      <c r="F197" s="35" t="s">
        <v>49</v>
      </c>
      <c r="G197" s="34" t="s">
        <v>465</v>
      </c>
      <c r="H197" s="34" t="s">
        <v>464</v>
      </c>
      <c r="I197" s="35" t="n">
        <v>4.0</v>
      </c>
      <c r="J197" s="35" t="n">
        <v>1.0</v>
      </c>
      <c r="K197" s="37" t="n">
        <v>0.35</v>
      </c>
    </row>
    <row r="198">
      <c r="A198" s="35" t="s">
        <v>49</v>
      </c>
      <c r="B198" s="34" t="s">
        <v>49</v>
      </c>
      <c r="C198" s="35" t="s">
        <v>49</v>
      </c>
      <c r="D198" s="35" t="s">
        <v>53</v>
      </c>
      <c r="E198" s="34" t="s">
        <v>466</v>
      </c>
      <c r="F198" s="35" t="s">
        <v>49</v>
      </c>
      <c r="G198" s="34" t="s">
        <v>468</v>
      </c>
      <c r="H198" s="34" t="s">
        <v>467</v>
      </c>
      <c r="I198" s="35" t="n">
        <v>4.0</v>
      </c>
      <c r="J198" s="35" t="n">
        <v>6.0</v>
      </c>
      <c r="K198" s="37" t="n">
        <v>0.4</v>
      </c>
    </row>
    <row r="199">
      <c r="A199" s="35" t="s">
        <v>49</v>
      </c>
      <c r="B199" s="34" t="s">
        <v>49</v>
      </c>
      <c r="C199" s="35" t="s">
        <v>49</v>
      </c>
      <c r="D199" s="35" t="s">
        <v>53</v>
      </c>
      <c r="E199" s="34" t="s">
        <v>469</v>
      </c>
      <c r="F199" s="35" t="s">
        <v>49</v>
      </c>
      <c r="G199" s="34" t="s">
        <v>471</v>
      </c>
      <c r="H199" s="34" t="s">
        <v>470</v>
      </c>
      <c r="I199" s="35" t="n">
        <v>3.0</v>
      </c>
      <c r="J199" s="35" t="n">
        <v>1.0</v>
      </c>
      <c r="K199" s="37" t="n">
        <v>0.7</v>
      </c>
    </row>
    <row r="200">
      <c r="A200" s="35" t="s">
        <v>49</v>
      </c>
      <c r="B200" s="34" t="s">
        <v>49</v>
      </c>
      <c r="C200" s="35" t="s">
        <v>49</v>
      </c>
      <c r="D200" s="35" t="s">
        <v>53</v>
      </c>
      <c r="E200" s="34" t="s">
        <v>472</v>
      </c>
      <c r="F200" s="35" t="s">
        <v>49</v>
      </c>
      <c r="G200" s="34" t="s">
        <v>474</v>
      </c>
      <c r="H200" s="34" t="s">
        <v>473</v>
      </c>
      <c r="I200" s="35" t="n">
        <v>4.0</v>
      </c>
      <c r="J200" s="35" t="n">
        <v>6.0</v>
      </c>
      <c r="K200" s="37" t="n">
        <v>0.4</v>
      </c>
    </row>
    <row r="201">
      <c r="A201" s="35" t="s">
        <v>49</v>
      </c>
      <c r="B201" s="34" t="s">
        <v>49</v>
      </c>
      <c r="C201" s="35" t="s">
        <v>49</v>
      </c>
      <c r="D201" s="35" t="s">
        <v>53</v>
      </c>
      <c r="E201" s="34" t="s">
        <v>475</v>
      </c>
      <c r="F201" s="35" t="s">
        <v>49</v>
      </c>
      <c r="G201" s="34" t="s">
        <v>477</v>
      </c>
      <c r="H201" s="34" t="s">
        <v>476</v>
      </c>
      <c r="I201" s="35" t="n">
        <v>4.0</v>
      </c>
      <c r="J201" s="35" t="n">
        <v>1.0</v>
      </c>
      <c r="K201" s="37" t="n">
        <v>0.7</v>
      </c>
    </row>
    <row r="202">
      <c r="A202" s="35" t="s">
        <v>49</v>
      </c>
      <c r="B202" s="34" t="s">
        <v>49</v>
      </c>
      <c r="C202" s="35" t="s">
        <v>49</v>
      </c>
      <c r="D202" s="35" t="s">
        <v>53</v>
      </c>
      <c r="E202" s="34" t="s">
        <v>478</v>
      </c>
      <c r="F202" s="35" t="s">
        <v>49</v>
      </c>
      <c r="G202" s="34" t="s">
        <v>480</v>
      </c>
      <c r="H202" s="34" t="s">
        <v>479</v>
      </c>
      <c r="I202" s="35" t="n">
        <v>4.0</v>
      </c>
      <c r="J202" s="35" t="n">
        <v>1.0</v>
      </c>
      <c r="K202" s="37" t="n">
        <v>0.35</v>
      </c>
    </row>
    <row r="203">
      <c r="A203" s="35" t="s">
        <v>49</v>
      </c>
      <c r="B203" s="34" t="s">
        <v>49</v>
      </c>
      <c r="C203" s="35" t="s">
        <v>49</v>
      </c>
      <c r="D203" s="35" t="s">
        <v>53</v>
      </c>
      <c r="E203" s="34" t="s">
        <v>481</v>
      </c>
      <c r="F203" s="35" t="s">
        <v>49</v>
      </c>
      <c r="G203" s="34" t="s">
        <v>483</v>
      </c>
      <c r="H203" s="34" t="s">
        <v>482</v>
      </c>
      <c r="I203" s="35" t="n">
        <v>4.0</v>
      </c>
      <c r="J203" s="35" t="n">
        <v>1.0</v>
      </c>
      <c r="K203" s="37" t="n">
        <v>0.2</v>
      </c>
    </row>
    <row r="204">
      <c r="A204" s="35" t="s">
        <v>484</v>
      </c>
      <c r="B204" s="34" t="s">
        <v>485</v>
      </c>
      <c r="C204" s="35" t="s">
        <v>396</v>
      </c>
      <c r="D204" s="34" t="s">
        <v>49</v>
      </c>
      <c r="E204" s="34" t="s">
        <v>49</v>
      </c>
      <c r="F204" s="34" t="s">
        <v>49</v>
      </c>
      <c r="G204" s="34" t="s">
        <v>49</v>
      </c>
      <c r="H204" s="34" t="s">
        <v>49</v>
      </c>
      <c r="I204" s="34" t="s">
        <v>49</v>
      </c>
      <c r="J204" s="34" t="s">
        <v>49</v>
      </c>
      <c r="K204" s="34" t="s">
        <v>49</v>
      </c>
    </row>
    <row r="205">
      <c r="A205" s="35" t="s">
        <v>49</v>
      </c>
      <c r="B205" s="34" t="s">
        <v>49</v>
      </c>
      <c r="C205" s="35" t="s">
        <v>49</v>
      </c>
      <c r="D205" s="35" t="s">
        <v>53</v>
      </c>
      <c r="E205" s="34" t="s">
        <v>486</v>
      </c>
      <c r="F205" s="35" t="s">
        <v>49</v>
      </c>
      <c r="G205" s="34" t="s">
        <v>488</v>
      </c>
      <c r="H205" s="34" t="s">
        <v>487</v>
      </c>
      <c r="I205" s="35" t="n">
        <v>3.0</v>
      </c>
      <c r="J205" s="35" t="n">
        <v>1.0</v>
      </c>
      <c r="K205" s="37" t="n">
        <v>0.7</v>
      </c>
    </row>
    <row r="206">
      <c r="A206" s="35" t="s">
        <v>49</v>
      </c>
      <c r="B206" s="34" t="s">
        <v>49</v>
      </c>
      <c r="C206" s="35" t="s">
        <v>49</v>
      </c>
      <c r="D206" s="35" t="s">
        <v>53</v>
      </c>
      <c r="E206" s="34" t="s">
        <v>489</v>
      </c>
      <c r="F206" s="35" t="s">
        <v>49</v>
      </c>
      <c r="G206" s="34" t="s">
        <v>491</v>
      </c>
      <c r="H206" s="34" t="s">
        <v>490</v>
      </c>
      <c r="I206" s="35" t="n">
        <v>3.0</v>
      </c>
      <c r="J206" s="35" t="n">
        <v>1.0</v>
      </c>
      <c r="K206" s="37" t="n">
        <v>0.7</v>
      </c>
    </row>
    <row r="207">
      <c r="A207" s="35" t="s">
        <v>49</v>
      </c>
      <c r="B207" s="34" t="s">
        <v>49</v>
      </c>
      <c r="C207" s="35" t="s">
        <v>49</v>
      </c>
      <c r="D207" s="35" t="s">
        <v>49</v>
      </c>
      <c r="E207" s="34" t="s">
        <v>49</v>
      </c>
      <c r="F207" s="35" t="s">
        <v>49</v>
      </c>
      <c r="G207" s="34" t="s">
        <v>49</v>
      </c>
      <c r="H207" s="34" t="s">
        <v>49</v>
      </c>
      <c r="I207" s="35"/>
      <c r="J207" s="35"/>
      <c r="K207" s="37"/>
    </row>
    <row r="208">
      <c r="A208" s="35" t="s">
        <v>49</v>
      </c>
      <c r="B208" s="34" t="s">
        <v>49</v>
      </c>
      <c r="C208" s="35" t="s">
        <v>49</v>
      </c>
      <c r="D208" s="35" t="s">
        <v>49</v>
      </c>
      <c r="E208" s="34" t="s">
        <v>49</v>
      </c>
      <c r="F208" s="35" t="s">
        <v>49</v>
      </c>
      <c r="G208" s="34" t="s">
        <v>49</v>
      </c>
      <c r="H208" s="34" t="s">
        <v>49</v>
      </c>
      <c r="I208" s="35"/>
      <c r="J208" s="35"/>
      <c r="K208" s="37"/>
    </row>
    <row r="209">
      <c r="A209" s="100" t="s">
        <v>15</v>
      </c>
      <c r="B209" s="101" t="s">
        <v>16</v>
      </c>
      <c r="C209" s="102" t="s">
        <v>10</v>
      </c>
      <c r="D209" s="103" t="s">
        <v>6</v>
      </c>
      <c r="E209" s="104" t="s">
        <v>1</v>
      </c>
      <c r="F209" s="105" t="s">
        <v>2</v>
      </c>
      <c r="G209" s="106" t="s">
        <v>8</v>
      </c>
      <c r="H209" s="107" t="s">
        <v>9</v>
      </c>
      <c r="I209" s="108" t="s">
        <v>23</v>
      </c>
      <c r="J209" s="109" t="s">
        <v>11</v>
      </c>
      <c r="K209" s="110" t="s">
        <v>3</v>
      </c>
      <c r="L209" s="111" t="s">
        <v>492</v>
      </c>
      <c r="M209" s="112" t="s">
        <v>4</v>
      </c>
      <c r="N209" s="113">
        <f>SUM(K210:K251)</f>
      </c>
    </row>
    <row r="210">
      <c r="A210" s="35" t="s">
        <v>493</v>
      </c>
      <c r="B210" s="34" t="s">
        <v>229</v>
      </c>
      <c r="C210" s="35" t="s">
        <v>396</v>
      </c>
      <c r="D210" s="34" t="s">
        <v>49</v>
      </c>
      <c r="E210" s="34" t="s">
        <v>49</v>
      </c>
      <c r="F210" s="34" t="s">
        <v>49</v>
      </c>
      <c r="G210" s="34" t="s">
        <v>49</v>
      </c>
      <c r="H210" s="34" t="s">
        <v>49</v>
      </c>
      <c r="I210" s="34" t="s">
        <v>49</v>
      </c>
      <c r="J210" s="34" t="s">
        <v>49</v>
      </c>
      <c r="K210" s="34" t="s">
        <v>49</v>
      </c>
    </row>
    <row r="211">
      <c r="A211" s="35" t="s">
        <v>49</v>
      </c>
      <c r="B211" s="34" t="s">
        <v>49</v>
      </c>
      <c r="C211" s="35" t="s">
        <v>49</v>
      </c>
      <c r="D211" s="35" t="s">
        <v>53</v>
      </c>
      <c r="E211" s="34" t="s">
        <v>494</v>
      </c>
      <c r="F211" s="35" t="s">
        <v>49</v>
      </c>
      <c r="G211" s="34" t="s">
        <v>233</v>
      </c>
      <c r="H211" s="34" t="s">
        <v>232</v>
      </c>
      <c r="I211" s="35" t="n">
        <v>1.0</v>
      </c>
      <c r="J211" s="35" t="n">
        <v>1.0</v>
      </c>
      <c r="K211" s="37" t="n">
        <v>0.15</v>
      </c>
    </row>
    <row r="212">
      <c r="A212" s="35" t="s">
        <v>49</v>
      </c>
      <c r="B212" s="34" t="s">
        <v>49</v>
      </c>
      <c r="C212" s="35" t="s">
        <v>49</v>
      </c>
      <c r="D212" s="35" t="s">
        <v>53</v>
      </c>
      <c r="E212" s="34" t="s">
        <v>495</v>
      </c>
      <c r="F212" s="35" t="s">
        <v>49</v>
      </c>
      <c r="G212" s="34" t="s">
        <v>293</v>
      </c>
      <c r="H212" s="34" t="s">
        <v>496</v>
      </c>
      <c r="I212" s="35" t="n">
        <v>1.0</v>
      </c>
      <c r="J212" s="35" t="n">
        <v>1.0</v>
      </c>
      <c r="K212" s="37" t="n">
        <v>0.2</v>
      </c>
    </row>
    <row r="213">
      <c r="A213" s="35" t="s">
        <v>497</v>
      </c>
      <c r="B213" s="34" t="s">
        <v>498</v>
      </c>
      <c r="C213" s="35" t="s">
        <v>396</v>
      </c>
      <c r="D213" s="34" t="s">
        <v>49</v>
      </c>
      <c r="E213" s="34" t="s">
        <v>49</v>
      </c>
      <c r="F213" s="34" t="s">
        <v>49</v>
      </c>
      <c r="G213" s="34" t="s">
        <v>49</v>
      </c>
      <c r="H213" s="34" t="s">
        <v>49</v>
      </c>
      <c r="I213" s="34" t="s">
        <v>49</v>
      </c>
      <c r="J213" s="34" t="s">
        <v>49</v>
      </c>
      <c r="K213" s="34" t="s">
        <v>49</v>
      </c>
    </row>
    <row r="214">
      <c r="A214" s="35" t="s">
        <v>49</v>
      </c>
      <c r="B214" s="34" t="s">
        <v>49</v>
      </c>
      <c r="C214" s="35" t="s">
        <v>49</v>
      </c>
      <c r="D214" s="35" t="s">
        <v>53</v>
      </c>
      <c r="E214" s="34" t="s">
        <v>499</v>
      </c>
      <c r="F214" s="35" t="s">
        <v>49</v>
      </c>
      <c r="G214" s="34" t="s">
        <v>501</v>
      </c>
      <c r="H214" s="34" t="s">
        <v>500</v>
      </c>
      <c r="I214" s="35" t="n">
        <v>3.0</v>
      </c>
      <c r="J214" s="35" t="n">
        <v>2.0</v>
      </c>
      <c r="K214" s="37" t="n">
        <v>0.45</v>
      </c>
    </row>
    <row r="215">
      <c r="A215" s="35" t="s">
        <v>49</v>
      </c>
      <c r="B215" s="34" t="s">
        <v>49</v>
      </c>
      <c r="C215" s="35" t="s">
        <v>49</v>
      </c>
      <c r="D215" s="35" t="s">
        <v>53</v>
      </c>
      <c r="E215" s="34" t="s">
        <v>502</v>
      </c>
      <c r="F215" s="35" t="s">
        <v>49</v>
      </c>
      <c r="G215" s="34" t="s">
        <v>504</v>
      </c>
      <c r="H215" s="34" t="s">
        <v>503</v>
      </c>
      <c r="I215" s="35" t="n">
        <v>5.0</v>
      </c>
      <c r="J215" s="35" t="n">
        <v>1.0</v>
      </c>
      <c r="K215" s="37" t="n">
        <v>0.35</v>
      </c>
    </row>
    <row r="216">
      <c r="A216" s="35" t="s">
        <v>49</v>
      </c>
      <c r="B216" s="34" t="s">
        <v>49</v>
      </c>
      <c r="C216" s="35" t="s">
        <v>49</v>
      </c>
      <c r="D216" s="35" t="s">
        <v>53</v>
      </c>
      <c r="E216" s="34" t="s">
        <v>505</v>
      </c>
      <c r="F216" s="35" t="s">
        <v>49</v>
      </c>
      <c r="G216" s="34" t="s">
        <v>507</v>
      </c>
      <c r="H216" s="34" t="s">
        <v>506</v>
      </c>
      <c r="I216" s="35" t="n">
        <v>5.0</v>
      </c>
      <c r="J216" s="35" t="n">
        <v>1.0</v>
      </c>
      <c r="K216" s="37" t="n">
        <v>0.2</v>
      </c>
    </row>
    <row r="217">
      <c r="A217" s="35" t="s">
        <v>49</v>
      </c>
      <c r="B217" s="34" t="s">
        <v>49</v>
      </c>
      <c r="C217" s="35" t="s">
        <v>49</v>
      </c>
      <c r="D217" s="35" t="s">
        <v>53</v>
      </c>
      <c r="E217" s="34" t="s">
        <v>508</v>
      </c>
      <c r="F217" s="35" t="s">
        <v>49</v>
      </c>
      <c r="G217" s="34" t="s">
        <v>510</v>
      </c>
      <c r="H217" s="34" t="s">
        <v>509</v>
      </c>
      <c r="I217" s="35" t="n">
        <v>5.0</v>
      </c>
      <c r="J217" s="35" t="n">
        <v>4.0</v>
      </c>
      <c r="K217" s="37" t="n">
        <v>1.2</v>
      </c>
    </row>
    <row r="218">
      <c r="A218" s="35" t="s">
        <v>49</v>
      </c>
      <c r="B218" s="34" t="s">
        <v>49</v>
      </c>
      <c r="C218" s="35" t="s">
        <v>49</v>
      </c>
      <c r="D218" s="35" t="s">
        <v>53</v>
      </c>
      <c r="E218" s="34" t="s">
        <v>511</v>
      </c>
      <c r="F218" s="35" t="s">
        <v>49</v>
      </c>
      <c r="G218" s="34" t="s">
        <v>513</v>
      </c>
      <c r="H218" s="34" t="s">
        <v>512</v>
      </c>
      <c r="I218" s="35" t="n">
        <v>5.0</v>
      </c>
      <c r="J218" s="35" t="n">
        <v>5.0</v>
      </c>
      <c r="K218" s="37" t="n">
        <v>0.6</v>
      </c>
    </row>
    <row r="219">
      <c r="A219" s="35" t="s">
        <v>49</v>
      </c>
      <c r="B219" s="34" t="s">
        <v>49</v>
      </c>
      <c r="C219" s="35" t="s">
        <v>49</v>
      </c>
      <c r="D219" s="35" t="s">
        <v>53</v>
      </c>
      <c r="E219" s="34" t="s">
        <v>514</v>
      </c>
      <c r="F219" s="35" t="s">
        <v>49</v>
      </c>
      <c r="G219" s="34" t="s">
        <v>516</v>
      </c>
      <c r="H219" s="34" t="s">
        <v>515</v>
      </c>
      <c r="I219" s="35" t="n">
        <v>5.0</v>
      </c>
      <c r="J219" s="35" t="n">
        <v>1.0</v>
      </c>
      <c r="K219" s="37" t="n">
        <v>0.35</v>
      </c>
    </row>
    <row r="220">
      <c r="A220" s="35" t="s">
        <v>49</v>
      </c>
      <c r="B220" s="34" t="s">
        <v>49</v>
      </c>
      <c r="C220" s="35" t="s">
        <v>49</v>
      </c>
      <c r="D220" s="35" t="s">
        <v>53</v>
      </c>
      <c r="E220" s="34" t="s">
        <v>517</v>
      </c>
      <c r="F220" s="35" t="s">
        <v>49</v>
      </c>
      <c r="G220" s="34" t="s">
        <v>519</v>
      </c>
      <c r="H220" s="34" t="s">
        <v>518</v>
      </c>
      <c r="I220" s="35" t="n">
        <v>3.0</v>
      </c>
      <c r="J220" s="35" t="n">
        <v>6.0</v>
      </c>
      <c r="K220" s="37" t="n">
        <v>0.4</v>
      </c>
    </row>
    <row r="221">
      <c r="A221" s="35" t="s">
        <v>49</v>
      </c>
      <c r="B221" s="34" t="s">
        <v>49</v>
      </c>
      <c r="C221" s="35" t="s">
        <v>49</v>
      </c>
      <c r="D221" s="35" t="s">
        <v>53</v>
      </c>
      <c r="E221" s="34" t="s">
        <v>520</v>
      </c>
      <c r="F221" s="35" t="s">
        <v>49</v>
      </c>
      <c r="G221" s="34" t="s">
        <v>522</v>
      </c>
      <c r="H221" s="34" t="s">
        <v>521</v>
      </c>
      <c r="I221" s="35" t="n">
        <v>3.0</v>
      </c>
      <c r="J221" s="35" t="n">
        <v>1.0</v>
      </c>
      <c r="K221" s="37" t="n">
        <v>0.35</v>
      </c>
    </row>
    <row r="222">
      <c r="A222" s="35" t="s">
        <v>523</v>
      </c>
      <c r="B222" s="34" t="s">
        <v>524</v>
      </c>
      <c r="C222" s="35" t="s">
        <v>396</v>
      </c>
      <c r="D222" s="34" t="s">
        <v>49</v>
      </c>
      <c r="E222" s="34" t="s">
        <v>49</v>
      </c>
      <c r="F222" s="34" t="s">
        <v>49</v>
      </c>
      <c r="G222" s="34" t="s">
        <v>49</v>
      </c>
      <c r="H222" s="34" t="s">
        <v>49</v>
      </c>
      <c r="I222" s="34" t="s">
        <v>49</v>
      </c>
      <c r="J222" s="34" t="s">
        <v>49</v>
      </c>
      <c r="K222" s="34" t="s">
        <v>49</v>
      </c>
    </row>
    <row r="223">
      <c r="A223" s="35" t="s">
        <v>49</v>
      </c>
      <c r="B223" s="34" t="s">
        <v>49</v>
      </c>
      <c r="C223" s="35" t="s">
        <v>49</v>
      </c>
      <c r="D223" s="35" t="s">
        <v>53</v>
      </c>
      <c r="E223" s="34" t="s">
        <v>525</v>
      </c>
      <c r="F223" s="35" t="s">
        <v>49</v>
      </c>
      <c r="G223" s="34" t="s">
        <v>527</v>
      </c>
      <c r="H223" s="34" t="s">
        <v>526</v>
      </c>
      <c r="I223" s="35" t="n">
        <v>5.0</v>
      </c>
      <c r="J223" s="35" t="n">
        <v>1.0</v>
      </c>
      <c r="K223" s="37" t="n">
        <v>0.7</v>
      </c>
    </row>
    <row r="224">
      <c r="A224" s="35" t="s">
        <v>49</v>
      </c>
      <c r="B224" s="34" t="s">
        <v>49</v>
      </c>
      <c r="C224" s="35" t="s">
        <v>49</v>
      </c>
      <c r="D224" s="35" t="s">
        <v>53</v>
      </c>
      <c r="E224" s="34" t="s">
        <v>528</v>
      </c>
      <c r="F224" s="35" t="s">
        <v>49</v>
      </c>
      <c r="G224" s="34" t="s">
        <v>530</v>
      </c>
      <c r="H224" s="34" t="s">
        <v>529</v>
      </c>
      <c r="I224" s="35" t="n">
        <v>5.0</v>
      </c>
      <c r="J224" s="35" t="n">
        <v>5.0</v>
      </c>
      <c r="K224" s="37" t="n">
        <v>1.4</v>
      </c>
    </row>
    <row r="225">
      <c r="A225" s="35" t="s">
        <v>49</v>
      </c>
      <c r="B225" s="34" t="s">
        <v>49</v>
      </c>
      <c r="C225" s="35" t="s">
        <v>49</v>
      </c>
      <c r="D225" s="35" t="s">
        <v>53</v>
      </c>
      <c r="E225" s="34" t="s">
        <v>531</v>
      </c>
      <c r="F225" s="35" t="s">
        <v>49</v>
      </c>
      <c r="G225" s="34" t="s">
        <v>533</v>
      </c>
      <c r="H225" s="34" t="s">
        <v>532</v>
      </c>
      <c r="I225" s="35" t="n">
        <v>5.0</v>
      </c>
      <c r="J225" s="35" t="n">
        <v>6.0</v>
      </c>
      <c r="K225" s="37" t="n">
        <v>0.4</v>
      </c>
    </row>
    <row r="226">
      <c r="A226" s="35" t="s">
        <v>49</v>
      </c>
      <c r="B226" s="34" t="s">
        <v>49</v>
      </c>
      <c r="C226" s="35" t="s">
        <v>49</v>
      </c>
      <c r="D226" s="35" t="s">
        <v>53</v>
      </c>
      <c r="E226" s="34" t="s">
        <v>534</v>
      </c>
      <c r="F226" s="35" t="s">
        <v>49</v>
      </c>
      <c r="G226" s="34" t="s">
        <v>536</v>
      </c>
      <c r="H226" s="34" t="s">
        <v>535</v>
      </c>
      <c r="I226" s="35" t="n">
        <v>5.0</v>
      </c>
      <c r="J226" s="35" t="n">
        <v>1.0</v>
      </c>
      <c r="K226" s="37" t="n">
        <v>0.15</v>
      </c>
    </row>
    <row r="227">
      <c r="A227" s="35" t="s">
        <v>49</v>
      </c>
      <c r="B227" s="34" t="s">
        <v>49</v>
      </c>
      <c r="C227" s="35" t="s">
        <v>49</v>
      </c>
      <c r="D227" s="35" t="s">
        <v>53</v>
      </c>
      <c r="E227" s="34" t="s">
        <v>537</v>
      </c>
      <c r="F227" s="35" t="s">
        <v>49</v>
      </c>
      <c r="G227" s="34" t="s">
        <v>539</v>
      </c>
      <c r="H227" s="34" t="s">
        <v>538</v>
      </c>
      <c r="I227" s="35" t="n">
        <v>5.0</v>
      </c>
      <c r="J227" s="35" t="n">
        <v>5.0</v>
      </c>
      <c r="K227" s="37" t="n">
        <v>0.35</v>
      </c>
    </row>
    <row r="228">
      <c r="A228" s="35" t="s">
        <v>49</v>
      </c>
      <c r="B228" s="34" t="s">
        <v>49</v>
      </c>
      <c r="C228" s="35" t="s">
        <v>49</v>
      </c>
      <c r="D228" s="35" t="s">
        <v>53</v>
      </c>
      <c r="E228" s="34" t="s">
        <v>540</v>
      </c>
      <c r="F228" s="35" t="s">
        <v>49</v>
      </c>
      <c r="G228" s="34" t="s">
        <v>542</v>
      </c>
      <c r="H228" s="34" t="s">
        <v>541</v>
      </c>
      <c r="I228" s="35" t="n">
        <v>5.0</v>
      </c>
      <c r="J228" s="35" t="n">
        <v>1.0</v>
      </c>
      <c r="K228" s="37" t="n">
        <v>0.2</v>
      </c>
    </row>
    <row r="229">
      <c r="A229" s="35" t="s">
        <v>49</v>
      </c>
      <c r="B229" s="34" t="s">
        <v>49</v>
      </c>
      <c r="C229" s="35" t="s">
        <v>49</v>
      </c>
      <c r="D229" s="35" t="s">
        <v>53</v>
      </c>
      <c r="E229" s="34" t="s">
        <v>543</v>
      </c>
      <c r="F229" s="35" t="s">
        <v>49</v>
      </c>
      <c r="G229" s="34" t="s">
        <v>545</v>
      </c>
      <c r="H229" s="34" t="s">
        <v>544</v>
      </c>
      <c r="I229" s="35" t="n">
        <v>1.0</v>
      </c>
      <c r="J229" s="35" t="n">
        <v>3.0</v>
      </c>
      <c r="K229" s="37" t="n">
        <v>0.75</v>
      </c>
    </row>
    <row r="230">
      <c r="A230" s="35" t="s">
        <v>546</v>
      </c>
      <c r="B230" s="34" t="s">
        <v>547</v>
      </c>
      <c r="C230" s="35" t="s">
        <v>396</v>
      </c>
      <c r="D230" s="34" t="s">
        <v>49</v>
      </c>
      <c r="E230" s="34" t="s">
        <v>49</v>
      </c>
      <c r="F230" s="34" t="s">
        <v>49</v>
      </c>
      <c r="G230" s="34" t="s">
        <v>49</v>
      </c>
      <c r="H230" s="34" t="s">
        <v>49</v>
      </c>
      <c r="I230" s="34" t="s">
        <v>49</v>
      </c>
      <c r="J230" s="34" t="s">
        <v>49</v>
      </c>
      <c r="K230" s="34" t="s">
        <v>49</v>
      </c>
    </row>
    <row r="231">
      <c r="A231" s="35" t="s">
        <v>49</v>
      </c>
      <c r="B231" s="34" t="s">
        <v>49</v>
      </c>
      <c r="C231" s="35" t="s">
        <v>49</v>
      </c>
      <c r="D231" s="35" t="s">
        <v>53</v>
      </c>
      <c r="E231" s="34" t="s">
        <v>548</v>
      </c>
      <c r="F231" s="35" t="s">
        <v>49</v>
      </c>
      <c r="G231" s="34" t="s">
        <v>550</v>
      </c>
      <c r="H231" s="34" t="s">
        <v>549</v>
      </c>
      <c r="I231" s="35" t="n">
        <v>5.0</v>
      </c>
      <c r="J231" s="35" t="n">
        <v>6.0</v>
      </c>
      <c r="K231" s="37" t="n">
        <v>0.7</v>
      </c>
    </row>
    <row r="232">
      <c r="A232" s="35" t="s">
        <v>49</v>
      </c>
      <c r="B232" s="34" t="s">
        <v>49</v>
      </c>
      <c r="C232" s="35" t="s">
        <v>49</v>
      </c>
      <c r="D232" s="35" t="s">
        <v>53</v>
      </c>
      <c r="E232" s="34" t="s">
        <v>551</v>
      </c>
      <c r="F232" s="35" t="s">
        <v>49</v>
      </c>
      <c r="G232" s="34" t="s">
        <v>553</v>
      </c>
      <c r="H232" s="34" t="s">
        <v>552</v>
      </c>
      <c r="I232" s="35" t="n">
        <v>5.0</v>
      </c>
      <c r="J232" s="35" t="n">
        <v>6.0</v>
      </c>
      <c r="K232" s="37" t="n">
        <v>0.4</v>
      </c>
    </row>
    <row r="233">
      <c r="A233" s="35" t="s">
        <v>49</v>
      </c>
      <c r="B233" s="34" t="s">
        <v>49</v>
      </c>
      <c r="C233" s="35" t="s">
        <v>49</v>
      </c>
      <c r="D233" s="35" t="s">
        <v>53</v>
      </c>
      <c r="E233" s="34" t="s">
        <v>554</v>
      </c>
      <c r="F233" s="35" t="s">
        <v>49</v>
      </c>
      <c r="G233" s="34" t="s">
        <v>556</v>
      </c>
      <c r="H233" s="34" t="s">
        <v>555</v>
      </c>
      <c r="I233" s="35" t="n">
        <v>3.0</v>
      </c>
      <c r="J233" s="35" t="n">
        <v>1.0</v>
      </c>
      <c r="K233" s="37" t="n">
        <v>0.15</v>
      </c>
    </row>
    <row r="234">
      <c r="A234" s="35" t="s">
        <v>49</v>
      </c>
      <c r="B234" s="34" t="s">
        <v>49</v>
      </c>
      <c r="C234" s="35" t="s">
        <v>49</v>
      </c>
      <c r="D234" s="35" t="s">
        <v>53</v>
      </c>
      <c r="E234" s="34" t="s">
        <v>557</v>
      </c>
      <c r="F234" s="35" t="s">
        <v>49</v>
      </c>
      <c r="G234" s="34" t="s">
        <v>559</v>
      </c>
      <c r="H234" s="34" t="s">
        <v>558</v>
      </c>
      <c r="I234" s="35" t="n">
        <v>5.0</v>
      </c>
      <c r="J234" s="35" t="n">
        <v>1.0</v>
      </c>
      <c r="K234" s="37" t="n">
        <v>0.7</v>
      </c>
    </row>
    <row r="235">
      <c r="A235" s="35" t="s">
        <v>49</v>
      </c>
      <c r="B235" s="34" t="s">
        <v>49</v>
      </c>
      <c r="C235" s="35" t="s">
        <v>49</v>
      </c>
      <c r="D235" s="35" t="s">
        <v>53</v>
      </c>
      <c r="E235" s="34" t="s">
        <v>560</v>
      </c>
      <c r="F235" s="35" t="s">
        <v>49</v>
      </c>
      <c r="G235" s="34" t="s">
        <v>562</v>
      </c>
      <c r="H235" s="34" t="s">
        <v>561</v>
      </c>
      <c r="I235" s="35" t="n">
        <v>5.0</v>
      </c>
      <c r="J235" s="35" t="n">
        <v>6.0</v>
      </c>
      <c r="K235" s="37" t="n">
        <v>0.7</v>
      </c>
    </row>
    <row r="236">
      <c r="A236" s="35" t="s">
        <v>49</v>
      </c>
      <c r="B236" s="34" t="s">
        <v>49</v>
      </c>
      <c r="C236" s="35" t="s">
        <v>49</v>
      </c>
      <c r="D236" s="35" t="s">
        <v>53</v>
      </c>
      <c r="E236" s="34" t="s">
        <v>563</v>
      </c>
      <c r="F236" s="35" t="s">
        <v>49</v>
      </c>
      <c r="G236" s="34" t="s">
        <v>565</v>
      </c>
      <c r="H236" s="34" t="s">
        <v>564</v>
      </c>
      <c r="I236" s="35" t="n">
        <v>3.0</v>
      </c>
      <c r="J236" s="35" t="n">
        <v>6.0</v>
      </c>
      <c r="K236" s="37" t="n">
        <v>0.3</v>
      </c>
    </row>
    <row r="237">
      <c r="A237" s="35" t="s">
        <v>49</v>
      </c>
      <c r="B237" s="34" t="s">
        <v>49</v>
      </c>
      <c r="C237" s="35" t="s">
        <v>49</v>
      </c>
      <c r="D237" s="35" t="s">
        <v>53</v>
      </c>
      <c r="E237" s="34" t="s">
        <v>566</v>
      </c>
      <c r="F237" s="35" t="s">
        <v>49</v>
      </c>
      <c r="G237" s="34" t="s">
        <v>568</v>
      </c>
      <c r="H237" s="34" t="s">
        <v>567</v>
      </c>
      <c r="I237" s="35" t="n">
        <v>5.0</v>
      </c>
      <c r="J237" s="35" t="n">
        <v>6.0</v>
      </c>
      <c r="K237" s="37" t="n">
        <v>0.4</v>
      </c>
    </row>
    <row r="238">
      <c r="A238" s="35" t="s">
        <v>49</v>
      </c>
      <c r="B238" s="34" t="s">
        <v>49</v>
      </c>
      <c r="C238" s="35" t="s">
        <v>49</v>
      </c>
      <c r="D238" s="35" t="s">
        <v>53</v>
      </c>
      <c r="E238" s="34" t="s">
        <v>569</v>
      </c>
      <c r="F238" s="35" t="s">
        <v>49</v>
      </c>
      <c r="G238" s="34" t="s">
        <v>571</v>
      </c>
      <c r="H238" s="34" t="s">
        <v>570</v>
      </c>
      <c r="I238" s="35" t="n">
        <v>3.0</v>
      </c>
      <c r="J238" s="35" t="n">
        <v>2.0</v>
      </c>
      <c r="K238" s="37" t="n">
        <v>0.45</v>
      </c>
    </row>
    <row r="239">
      <c r="A239" s="35" t="s">
        <v>572</v>
      </c>
      <c r="B239" s="34" t="s">
        <v>573</v>
      </c>
      <c r="C239" s="35" t="s">
        <v>396</v>
      </c>
      <c r="D239" s="34" t="s">
        <v>49</v>
      </c>
      <c r="E239" s="34" t="s">
        <v>49</v>
      </c>
      <c r="F239" s="34" t="s">
        <v>49</v>
      </c>
      <c r="G239" s="34" t="s">
        <v>49</v>
      </c>
      <c r="H239" s="34" t="s">
        <v>49</v>
      </c>
      <c r="I239" s="34" t="s">
        <v>49</v>
      </c>
      <c r="J239" s="34" t="s">
        <v>49</v>
      </c>
      <c r="K239" s="34" t="s">
        <v>49</v>
      </c>
    </row>
    <row r="240">
      <c r="A240" s="35" t="s">
        <v>49</v>
      </c>
      <c r="B240" s="34" t="s">
        <v>49</v>
      </c>
      <c r="C240" s="35" t="s">
        <v>49</v>
      </c>
      <c r="D240" s="35" t="s">
        <v>53</v>
      </c>
      <c r="E240" s="34" t="s">
        <v>574</v>
      </c>
      <c r="F240" s="35" t="s">
        <v>49</v>
      </c>
      <c r="G240" s="34" t="s">
        <v>576</v>
      </c>
      <c r="H240" s="34" t="s">
        <v>575</v>
      </c>
      <c r="I240" s="35" t="n">
        <v>5.0</v>
      </c>
      <c r="J240" s="35" t="n">
        <v>6.0</v>
      </c>
      <c r="K240" s="37" t="n">
        <v>0.7</v>
      </c>
    </row>
    <row r="241">
      <c r="A241" s="35" t="s">
        <v>49</v>
      </c>
      <c r="B241" s="34" t="s">
        <v>49</v>
      </c>
      <c r="C241" s="35" t="s">
        <v>49</v>
      </c>
      <c r="D241" s="35" t="s">
        <v>53</v>
      </c>
      <c r="E241" s="34" t="s">
        <v>577</v>
      </c>
      <c r="F241" s="35" t="s">
        <v>49</v>
      </c>
      <c r="G241" s="34" t="s">
        <v>579</v>
      </c>
      <c r="H241" s="34" t="s">
        <v>578</v>
      </c>
      <c r="I241" s="35" t="n">
        <v>5.0</v>
      </c>
      <c r="J241" s="35" t="n">
        <v>1.0</v>
      </c>
      <c r="K241" s="37" t="n">
        <v>0.2</v>
      </c>
    </row>
    <row r="242">
      <c r="A242" s="35" t="s">
        <v>49</v>
      </c>
      <c r="B242" s="34" t="s">
        <v>49</v>
      </c>
      <c r="C242" s="35" t="s">
        <v>49</v>
      </c>
      <c r="D242" s="35" t="s">
        <v>53</v>
      </c>
      <c r="E242" s="34" t="s">
        <v>580</v>
      </c>
      <c r="F242" s="35" t="s">
        <v>49</v>
      </c>
      <c r="G242" s="34" t="s">
        <v>582</v>
      </c>
      <c r="H242" s="34" t="s">
        <v>581</v>
      </c>
      <c r="I242" s="35" t="n">
        <v>5.0</v>
      </c>
      <c r="J242" s="35" t="n">
        <v>1.0</v>
      </c>
      <c r="K242" s="37" t="n">
        <v>0.35</v>
      </c>
    </row>
    <row r="243">
      <c r="A243" s="35" t="s">
        <v>49</v>
      </c>
      <c r="B243" s="34" t="s">
        <v>49</v>
      </c>
      <c r="C243" s="35" t="s">
        <v>49</v>
      </c>
      <c r="D243" s="35" t="s">
        <v>53</v>
      </c>
      <c r="E243" s="34" t="s">
        <v>583</v>
      </c>
      <c r="F243" s="35" t="s">
        <v>49</v>
      </c>
      <c r="G243" s="34" t="s">
        <v>585</v>
      </c>
      <c r="H243" s="34" t="s">
        <v>584</v>
      </c>
      <c r="I243" s="35" t="n">
        <v>3.0</v>
      </c>
      <c r="J243" s="35" t="n">
        <v>1.0</v>
      </c>
      <c r="K243" s="37" t="n">
        <v>0.2</v>
      </c>
    </row>
    <row r="244">
      <c r="A244" s="35" t="s">
        <v>49</v>
      </c>
      <c r="B244" s="34" t="s">
        <v>49</v>
      </c>
      <c r="C244" s="35" t="s">
        <v>49</v>
      </c>
      <c r="D244" s="35" t="s">
        <v>53</v>
      </c>
      <c r="E244" s="34" t="s">
        <v>586</v>
      </c>
      <c r="F244" s="35" t="s">
        <v>49</v>
      </c>
      <c r="G244" s="34" t="s">
        <v>588</v>
      </c>
      <c r="H244" s="34" t="s">
        <v>587</v>
      </c>
      <c r="I244" s="35" t="n">
        <v>3.0</v>
      </c>
      <c r="J244" s="35" t="n">
        <v>1.0</v>
      </c>
      <c r="K244" s="37" t="n">
        <v>0.15</v>
      </c>
    </row>
    <row r="245">
      <c r="A245" s="35" t="s">
        <v>589</v>
      </c>
      <c r="B245" s="34" t="s">
        <v>590</v>
      </c>
      <c r="C245" s="35" t="s">
        <v>396</v>
      </c>
      <c r="D245" s="34" t="s">
        <v>49</v>
      </c>
      <c r="E245" s="34" t="s">
        <v>49</v>
      </c>
      <c r="F245" s="34" t="s">
        <v>49</v>
      </c>
      <c r="G245" s="34" t="s">
        <v>49</v>
      </c>
      <c r="H245" s="34" t="s">
        <v>49</v>
      </c>
      <c r="I245" s="34" t="s">
        <v>49</v>
      </c>
      <c r="J245" s="34" t="s">
        <v>49</v>
      </c>
      <c r="K245" s="34" t="s">
        <v>49</v>
      </c>
    </row>
    <row r="246">
      <c r="A246" s="35" t="s">
        <v>49</v>
      </c>
      <c r="B246" s="34" t="s">
        <v>49</v>
      </c>
      <c r="C246" s="35" t="s">
        <v>49</v>
      </c>
      <c r="D246" s="35" t="s">
        <v>53</v>
      </c>
      <c r="E246" s="34" t="s">
        <v>591</v>
      </c>
      <c r="F246" s="35" t="s">
        <v>49</v>
      </c>
      <c r="G246" s="34" t="s">
        <v>593</v>
      </c>
      <c r="H246" s="34" t="s">
        <v>592</v>
      </c>
      <c r="I246" s="35" t="n">
        <v>5.0</v>
      </c>
      <c r="J246" s="35" t="n">
        <v>6.0</v>
      </c>
      <c r="K246" s="37" t="n">
        <v>0.7</v>
      </c>
    </row>
    <row r="247">
      <c r="A247" s="35" t="s">
        <v>49</v>
      </c>
      <c r="B247" s="34" t="s">
        <v>49</v>
      </c>
      <c r="C247" s="35" t="s">
        <v>49</v>
      </c>
      <c r="D247" s="35" t="s">
        <v>53</v>
      </c>
      <c r="E247" s="34" t="s">
        <v>594</v>
      </c>
      <c r="F247" s="35" t="s">
        <v>49</v>
      </c>
      <c r="G247" s="34" t="s">
        <v>596</v>
      </c>
      <c r="H247" s="34" t="s">
        <v>595</v>
      </c>
      <c r="I247" s="35" t="n">
        <v>5.0</v>
      </c>
      <c r="J247" s="35" t="n">
        <v>1.0</v>
      </c>
      <c r="K247" s="37" t="n">
        <v>0.2</v>
      </c>
    </row>
    <row r="248">
      <c r="A248" s="35" t="s">
        <v>49</v>
      </c>
      <c r="B248" s="34" t="s">
        <v>49</v>
      </c>
      <c r="C248" s="35" t="s">
        <v>49</v>
      </c>
      <c r="D248" s="35" t="s">
        <v>53</v>
      </c>
      <c r="E248" s="34" t="s">
        <v>597</v>
      </c>
      <c r="F248" s="35" t="s">
        <v>49</v>
      </c>
      <c r="G248" s="34" t="s">
        <v>599</v>
      </c>
      <c r="H248" s="34" t="s">
        <v>598</v>
      </c>
      <c r="I248" s="35" t="n">
        <v>1.0</v>
      </c>
      <c r="J248" s="35" t="n">
        <v>6.0</v>
      </c>
      <c r="K248" s="37" t="n">
        <v>0.3</v>
      </c>
    </row>
    <row r="249">
      <c r="A249" s="35" t="s">
        <v>49</v>
      </c>
      <c r="B249" s="34" t="s">
        <v>49</v>
      </c>
      <c r="C249" s="35" t="s">
        <v>49</v>
      </c>
      <c r="D249" s="35" t="s">
        <v>53</v>
      </c>
      <c r="E249" s="34" t="s">
        <v>600</v>
      </c>
      <c r="F249" s="35" t="s">
        <v>49</v>
      </c>
      <c r="G249" s="34" t="s">
        <v>602</v>
      </c>
      <c r="H249" s="34" t="s">
        <v>601</v>
      </c>
      <c r="I249" s="35" t="n">
        <v>3.0</v>
      </c>
      <c r="J249" s="35" t="n">
        <v>1.0</v>
      </c>
      <c r="K249" s="37" t="n">
        <v>0.2</v>
      </c>
    </row>
    <row r="250">
      <c r="A250" s="35" t="s">
        <v>49</v>
      </c>
      <c r="B250" s="34" t="s">
        <v>49</v>
      </c>
      <c r="C250" s="35" t="s">
        <v>49</v>
      </c>
      <c r="D250" s="35" t="s">
        <v>49</v>
      </c>
      <c r="E250" s="34" t="s">
        <v>49</v>
      </c>
      <c r="F250" s="35" t="s">
        <v>49</v>
      </c>
      <c r="G250" s="34" t="s">
        <v>49</v>
      </c>
      <c r="H250" s="34" t="s">
        <v>49</v>
      </c>
      <c r="I250" s="35"/>
      <c r="J250" s="35"/>
      <c r="K250" s="37"/>
    </row>
    <row r="251">
      <c r="A251" s="35" t="s">
        <v>49</v>
      </c>
      <c r="B251" s="34" t="s">
        <v>49</v>
      </c>
      <c r="C251" s="35" t="s">
        <v>49</v>
      </c>
      <c r="D251" s="35" t="s">
        <v>49</v>
      </c>
      <c r="E251" s="34" t="s">
        <v>49</v>
      </c>
      <c r="F251" s="35" t="s">
        <v>49</v>
      </c>
      <c r="G251" s="34" t="s">
        <v>49</v>
      </c>
      <c r="H251" s="34" t="s">
        <v>49</v>
      </c>
      <c r="I251" s="35"/>
      <c r="J251" s="35"/>
      <c r="K251" s="37"/>
    </row>
    <row r="252">
      <c r="A252" s="114" t="s">
        <v>15</v>
      </c>
      <c r="B252" s="115" t="s">
        <v>16</v>
      </c>
      <c r="C252" s="116" t="s">
        <v>10</v>
      </c>
      <c r="D252" s="117" t="s">
        <v>6</v>
      </c>
      <c r="E252" s="118" t="s">
        <v>1</v>
      </c>
      <c r="F252" s="119" t="s">
        <v>2</v>
      </c>
      <c r="G252" s="120" t="s">
        <v>8</v>
      </c>
      <c r="H252" s="121" t="s">
        <v>9</v>
      </c>
      <c r="I252" s="122" t="s">
        <v>23</v>
      </c>
      <c r="J252" s="123" t="s">
        <v>11</v>
      </c>
      <c r="K252" s="124" t="s">
        <v>3</v>
      </c>
      <c r="L252" s="125" t="s">
        <v>603</v>
      </c>
      <c r="M252" s="126" t="s">
        <v>4</v>
      </c>
      <c r="N252" s="127">
        <f>SUM(K253:K263)</f>
      </c>
    </row>
    <row r="253">
      <c r="A253" s="35" t="s">
        <v>604</v>
      </c>
      <c r="B253" s="34" t="s">
        <v>605</v>
      </c>
      <c r="C253" s="35" t="s">
        <v>606</v>
      </c>
      <c r="D253" s="34" t="s">
        <v>49</v>
      </c>
      <c r="E253" s="34" t="s">
        <v>49</v>
      </c>
      <c r="F253" s="34" t="s">
        <v>49</v>
      </c>
      <c r="G253" s="34" t="s">
        <v>49</v>
      </c>
      <c r="H253" s="34" t="s">
        <v>49</v>
      </c>
      <c r="I253" s="34" t="s">
        <v>49</v>
      </c>
      <c r="J253" s="34" t="s">
        <v>49</v>
      </c>
      <c r="K253" s="34" t="s">
        <v>49</v>
      </c>
    </row>
    <row r="254">
      <c r="A254" s="35" t="s">
        <v>49</v>
      </c>
      <c r="B254" s="34" t="s">
        <v>49</v>
      </c>
      <c r="C254" s="35" t="s">
        <v>49</v>
      </c>
      <c r="D254" s="35" t="s">
        <v>53</v>
      </c>
      <c r="E254" s="34" t="s">
        <v>611</v>
      </c>
      <c r="F254" s="35" t="s">
        <v>49</v>
      </c>
      <c r="G254" s="34" t="s">
        <v>49</v>
      </c>
      <c r="H254" s="34" t="s">
        <v>612</v>
      </c>
      <c r="I254" s="35" t="n">
        <v>6.0</v>
      </c>
      <c r="J254" s="35" t="n">
        <v>10.0</v>
      </c>
      <c r="K254" s="37" t="n">
        <v>1.75</v>
      </c>
    </row>
    <row r="255">
      <c r="A255" s="35" t="s">
        <v>49</v>
      </c>
      <c r="B255" s="34" t="s">
        <v>49</v>
      </c>
      <c r="C255" s="35" t="s">
        <v>49</v>
      </c>
      <c r="D255" s="35" t="s">
        <v>53</v>
      </c>
      <c r="E255" s="34" t="s">
        <v>616</v>
      </c>
      <c r="F255" s="35" t="s">
        <v>49</v>
      </c>
      <c r="G255" s="34" t="s">
        <v>49</v>
      </c>
      <c r="H255" s="34" t="s">
        <v>617</v>
      </c>
      <c r="I255" s="35" t="n">
        <v>6.0</v>
      </c>
      <c r="J255" s="35" t="n">
        <v>11.0</v>
      </c>
      <c r="K255" s="37" t="n">
        <v>2.0</v>
      </c>
    </row>
    <row r="256">
      <c r="A256" s="35" t="s">
        <v>49</v>
      </c>
      <c r="B256" s="34" t="s">
        <v>49</v>
      </c>
      <c r="C256" s="35" t="s">
        <v>49</v>
      </c>
      <c r="D256" s="35" t="s">
        <v>53</v>
      </c>
      <c r="E256" s="34" t="s">
        <v>618</v>
      </c>
      <c r="F256" s="35" t="s">
        <v>49</v>
      </c>
      <c r="G256" s="34" t="s">
        <v>49</v>
      </c>
      <c r="H256" s="34" t="s">
        <v>619</v>
      </c>
      <c r="I256" s="35" t="n">
        <v>6.0</v>
      </c>
      <c r="J256" s="35" t="n">
        <v>10.0</v>
      </c>
      <c r="K256" s="37" t="n">
        <v>1.75</v>
      </c>
    </row>
    <row r="257">
      <c r="A257" s="35" t="s">
        <v>49</v>
      </c>
      <c r="B257" s="34" t="s">
        <v>49</v>
      </c>
      <c r="C257" s="35" t="s">
        <v>49</v>
      </c>
      <c r="D257" s="35" t="s">
        <v>53</v>
      </c>
      <c r="E257" s="34" t="s">
        <v>620</v>
      </c>
      <c r="F257" s="35" t="s">
        <v>49</v>
      </c>
      <c r="G257" s="34" t="s">
        <v>49</v>
      </c>
      <c r="H257" s="34" t="s">
        <v>621</v>
      </c>
      <c r="I257" s="35" t="n">
        <v>6.0</v>
      </c>
      <c r="J257" s="35" t="n">
        <v>11.0</v>
      </c>
      <c r="K257" s="37" t="n">
        <v>2.0</v>
      </c>
    </row>
    <row r="258">
      <c r="A258" s="35" t="s">
        <v>49</v>
      </c>
      <c r="B258" s="34" t="s">
        <v>49</v>
      </c>
      <c r="C258" s="35" t="s">
        <v>49</v>
      </c>
      <c r="D258" s="35" t="s">
        <v>53</v>
      </c>
      <c r="E258" s="34" t="s">
        <v>622</v>
      </c>
      <c r="F258" s="35" t="s">
        <v>49</v>
      </c>
      <c r="G258" s="34" t="s">
        <v>49</v>
      </c>
      <c r="H258" s="34" t="s">
        <v>623</v>
      </c>
      <c r="I258" s="35" t="n">
        <v>6.0</v>
      </c>
      <c r="J258" s="35" t="n">
        <v>10.0</v>
      </c>
      <c r="K258" s="37" t="n">
        <v>1.75</v>
      </c>
    </row>
    <row r="259">
      <c r="A259" s="35" t="s">
        <v>49</v>
      </c>
      <c r="B259" s="34" t="s">
        <v>49</v>
      </c>
      <c r="C259" s="35" t="s">
        <v>49</v>
      </c>
      <c r="D259" s="35" t="s">
        <v>53</v>
      </c>
      <c r="E259" s="34" t="s">
        <v>624</v>
      </c>
      <c r="F259" s="35" t="s">
        <v>49</v>
      </c>
      <c r="G259" s="34" t="s">
        <v>49</v>
      </c>
      <c r="H259" s="34" t="s">
        <v>625</v>
      </c>
      <c r="I259" s="35" t="n">
        <v>6.0</v>
      </c>
      <c r="J259" s="35" t="n">
        <v>11.0</v>
      </c>
      <c r="K259" s="37" t="n">
        <v>2.0</v>
      </c>
    </row>
    <row r="260">
      <c r="A260" s="35" t="s">
        <v>49</v>
      </c>
      <c r="B260" s="34" t="s">
        <v>49</v>
      </c>
      <c r="C260" s="35" t="s">
        <v>49</v>
      </c>
      <c r="D260" s="35" t="s">
        <v>53</v>
      </c>
      <c r="E260" s="34" t="s">
        <v>626</v>
      </c>
      <c r="F260" s="35" t="s">
        <v>49</v>
      </c>
      <c r="G260" s="34" t="s">
        <v>49</v>
      </c>
      <c r="H260" s="34" t="s">
        <v>627</v>
      </c>
      <c r="I260" s="35" t="n">
        <v>6.0</v>
      </c>
      <c r="J260" s="35" t="n">
        <v>10.0</v>
      </c>
      <c r="K260" s="37" t="n">
        <v>1.75</v>
      </c>
    </row>
    <row r="261">
      <c r="A261" s="35" t="s">
        <v>49</v>
      </c>
      <c r="B261" s="34" t="s">
        <v>49</v>
      </c>
      <c r="C261" s="35" t="s">
        <v>49</v>
      </c>
      <c r="D261" s="35" t="s">
        <v>53</v>
      </c>
      <c r="E261" s="34" t="s">
        <v>628</v>
      </c>
      <c r="F261" s="35" t="s">
        <v>49</v>
      </c>
      <c r="G261" s="34" t="s">
        <v>49</v>
      </c>
      <c r="H261" s="34" t="s">
        <v>629</v>
      </c>
      <c r="I261" s="35" t="n">
        <v>6.0</v>
      </c>
      <c r="J261" s="35" t="n">
        <v>11.0</v>
      </c>
      <c r="K261" s="37" t="n">
        <v>2.0</v>
      </c>
    </row>
    <row r="262">
      <c r="A262" s="35" t="s">
        <v>49</v>
      </c>
      <c r="B262" s="34" t="s">
        <v>49</v>
      </c>
      <c r="C262" s="35" t="s">
        <v>49</v>
      </c>
      <c r="D262" s="35" t="s">
        <v>49</v>
      </c>
      <c r="E262" s="34" t="s">
        <v>49</v>
      </c>
      <c r="F262" s="35" t="s">
        <v>49</v>
      </c>
      <c r="G262" s="34" t="s">
        <v>49</v>
      </c>
      <c r="H262" s="34" t="s">
        <v>49</v>
      </c>
      <c r="I262" s="35"/>
      <c r="J262" s="35"/>
      <c r="K262" s="37"/>
    </row>
    <row r="263">
      <c r="A263" s="35" t="s">
        <v>49</v>
      </c>
      <c r="B263" s="34" t="s">
        <v>49</v>
      </c>
      <c r="C263" s="35" t="s">
        <v>49</v>
      </c>
      <c r="D263" s="35" t="s">
        <v>49</v>
      </c>
      <c r="E263" s="34" t="s">
        <v>49</v>
      </c>
      <c r="F263" s="35" t="s">
        <v>49</v>
      </c>
      <c r="G263" s="34" t="s">
        <v>49</v>
      </c>
      <c r="H263" s="34" t="s">
        <v>49</v>
      </c>
      <c r="I263" s="35"/>
      <c r="J263" s="35"/>
      <c r="K263" s="37"/>
    </row>
    <row r="264">
      <c r="A264" s="128" t="s">
        <v>15</v>
      </c>
      <c r="B264" s="129" t="s">
        <v>16</v>
      </c>
      <c r="C264" s="130" t="s">
        <v>10</v>
      </c>
      <c r="D264" s="131" t="s">
        <v>6</v>
      </c>
      <c r="E264" s="132" t="s">
        <v>1</v>
      </c>
      <c r="F264" s="133" t="s">
        <v>2</v>
      </c>
      <c r="G264" s="134" t="s">
        <v>8</v>
      </c>
      <c r="H264" s="135" t="s">
        <v>9</v>
      </c>
      <c r="I264" s="136" t="s">
        <v>23</v>
      </c>
      <c r="J264" s="137" t="s">
        <v>11</v>
      </c>
      <c r="K264" s="138" t="s">
        <v>3</v>
      </c>
      <c r="L264" s="139" t="s">
        <v>630</v>
      </c>
      <c r="M264" s="140" t="s">
        <v>4</v>
      </c>
      <c r="N264" s="141">
        <f>SUM(K265:K266)</f>
      </c>
    </row>
    <row r="265">
      <c r="A265" s="35" t="s">
        <v>49</v>
      </c>
      <c r="B265" s="34" t="s">
        <v>49</v>
      </c>
      <c r="C265" s="35" t="s">
        <v>49</v>
      </c>
      <c r="D265" s="35" t="s">
        <v>49</v>
      </c>
      <c r="E265" s="34" t="s">
        <v>49</v>
      </c>
      <c r="F265" s="35" t="s">
        <v>49</v>
      </c>
      <c r="G265" s="34" t="s">
        <v>49</v>
      </c>
      <c r="H265" s="34" t="s">
        <v>49</v>
      </c>
      <c r="I265" s="35"/>
      <c r="J265" s="35"/>
      <c r="K265" s="37"/>
    </row>
    <row r="266">
      <c r="A266" s="35" t="s">
        <v>49</v>
      </c>
      <c r="B266" s="34" t="s">
        <v>49</v>
      </c>
      <c r="C266" s="35" t="s">
        <v>49</v>
      </c>
      <c r="D266" s="35" t="s">
        <v>49</v>
      </c>
      <c r="E266" s="34" t="s">
        <v>49</v>
      </c>
      <c r="F266" s="35" t="s">
        <v>49</v>
      </c>
      <c r="G266" s="34" t="s">
        <v>49</v>
      </c>
      <c r="H266" s="34" t="s">
        <v>49</v>
      </c>
      <c r="I266" s="35"/>
      <c r="J266" s="35"/>
      <c r="K266" s="37"/>
    </row>
    <row r="267">
      <c r="A267" s="142" t="s">
        <v>15</v>
      </c>
      <c r="B267" s="143" t="s">
        <v>16</v>
      </c>
      <c r="C267" s="144" t="s">
        <v>10</v>
      </c>
      <c r="D267" s="145" t="s">
        <v>6</v>
      </c>
      <c r="E267" s="146" t="s">
        <v>1</v>
      </c>
      <c r="F267" s="147" t="s">
        <v>2</v>
      </c>
      <c r="G267" s="148" t="s">
        <v>8</v>
      </c>
      <c r="H267" s="149" t="s">
        <v>9</v>
      </c>
      <c r="I267" s="150" t="s">
        <v>23</v>
      </c>
      <c r="J267" s="151" t="s">
        <v>11</v>
      </c>
      <c r="K267" s="152" t="s">
        <v>3</v>
      </c>
      <c r="L267" s="153" t="s">
        <v>631</v>
      </c>
      <c r="M267" s="154" t="s">
        <v>4</v>
      </c>
      <c r="N267" s="155">
        <f>SUM(K268:K269)</f>
      </c>
    </row>
    <row r="268">
      <c r="A268" s="35" t="s">
        <v>49</v>
      </c>
      <c r="B268" s="34" t="s">
        <v>49</v>
      </c>
      <c r="C268" s="35" t="s">
        <v>49</v>
      </c>
      <c r="D268" s="35" t="s">
        <v>49</v>
      </c>
      <c r="E268" s="34" t="s">
        <v>49</v>
      </c>
      <c r="F268" s="35" t="s">
        <v>49</v>
      </c>
      <c r="G268" s="34" t="s">
        <v>49</v>
      </c>
      <c r="H268" s="34" t="s">
        <v>49</v>
      </c>
      <c r="I268" s="35"/>
      <c r="J268" s="35"/>
      <c r="K268" s="37"/>
    </row>
    <row r="269">
      <c r="A269" s="38" t="s">
        <v>49</v>
      </c>
      <c r="B269" s="38" t="s">
        <v>49</v>
      </c>
      <c r="C269" s="38" t="s">
        <v>49</v>
      </c>
      <c r="D269" s="38" t="s">
        <v>49</v>
      </c>
      <c r="E269" s="38" t="s">
        <v>49</v>
      </c>
      <c r="F269" s="38" t="s">
        <v>49</v>
      </c>
      <c r="G269" s="38" t="s">
        <v>49</v>
      </c>
      <c r="H269" s="38" t="s">
        <v>49</v>
      </c>
      <c r="I269" s="38" t="s">
        <v>49</v>
      </c>
      <c r="J269" s="38" t="s">
        <v>49</v>
      </c>
      <c r="K269" s="38" t="s">
        <v>49</v>
      </c>
    </row>
    <row r="272" spans="1:14" ht="42" x14ac:dyDescent="0.15">
      <c r="L272" s="5" t="s">
        <v>5</v>
      </c>
      <c r="M272" s="6" t="s">
        <v>4</v>
      </c>
      <c r="N272" s="7">
        <f>SUM(N1:N270)</f>
      </c>
    </row>
  </sheetData>
  <mergeCells count="39">
    <mergeCell ref="B4:H4"/>
    <mergeCell ref="A3:K3"/>
    <mergeCell ref="A1:K1"/>
    <mergeCell ref="B5:H5"/>
    <mergeCell ref="B6:H6"/>
    <mergeCell ref="B7:H7"/>
    <mergeCell ref="B8:H8"/>
    <mergeCell ref="B9:H9"/>
    <mergeCell ref="A14:K14"/>
    <mergeCell ref="B15:J15"/>
    <mergeCell ref="I11:J11"/>
    <mergeCell ref="B10:H10"/>
    <mergeCell ref="B16:J16"/>
    <mergeCell ref="B17:J17"/>
    <mergeCell ref="B18:J18"/>
    <mergeCell ref="B19:J19"/>
    <mergeCell ref="B20:J20"/>
    <mergeCell ref="B21:J21"/>
    <mergeCell ref="B22:J22"/>
    <mergeCell ref="B23:J23"/>
    <mergeCell ref="B24:J24"/>
  </mergeCells>
  <phoneticPr fontId="1" type="noConversion"/>
  <pageMargins left="0.39000000000000007" right="0.39000000000000007" top="0.87" bottom="0.59" header="0.2" footer="0.2"/>
  <pageSetup paperSize="9" orientation="landscape" r:id="rId1"/>
  <headerFooter>
    <oddHeader>&amp;R&amp;G</oddHeader>
    <oddFooter><![CDATA[&L&8Sheet: &A
File: &F&C&8Version: 
Date: &R&8&P of &N]]>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baseColWidth="10" defaultColWidth="8.83203125" defaultRowHeight="13" x14ac:dyDescent="0.15"/>
  <cols>
    <col min="1" max="1" customWidth="true" style="1" width="21.33203125"/>
    <col min="2" max="2" customWidth="true" style="1" width="28.6640625"/>
    <col min="3" max="3" customWidth="true" style="1" width="7.1640625"/>
    <col min="4" max="4" customWidth="true" style="1" width="69.5"/>
    <col min="5" max="16384" style="1" width="8.83203125"/>
  </cols>
  <sheetData>
    <row r="1">
      <c r="A1" t="s" s="1">
        <v>51</v>
      </c>
      <c r="B1" t="s" s="1">
        <v>52</v>
      </c>
      <c r="C1" t="b" s="1">
        <v>1</v>
      </c>
      <c r="D1" t="s" s="1">
        <v>49</v>
      </c>
      <c r="E1" s="1"/>
      <c r="F1" s="1"/>
    </row>
    <row r="2">
      <c r="A2" t="s" s="1">
        <v>72</v>
      </c>
      <c r="B2" t="s" s="1">
        <v>73</v>
      </c>
      <c r="C2" t="b" s="1">
        <v>1</v>
      </c>
      <c r="D2" t="s" s="1">
        <v>74</v>
      </c>
      <c r="E2" s="1"/>
      <c r="F2" t="s" s="1">
        <v>75</v>
      </c>
    </row>
    <row r="3">
      <c r="A3" t="s" s="1">
        <v>84</v>
      </c>
      <c r="B3" t="s" s="1">
        <v>73</v>
      </c>
      <c r="C3" t="b" s="1">
        <v>1</v>
      </c>
      <c r="D3" t="s" s="1">
        <v>85</v>
      </c>
      <c r="E3" s="1"/>
      <c r="F3" t="s" s="1">
        <v>86</v>
      </c>
    </row>
    <row r="4">
      <c r="A4" t="s" s="1">
        <v>99</v>
      </c>
      <c r="B4" t="s" s="1">
        <v>73</v>
      </c>
      <c r="C4" t="b" s="1">
        <v>1</v>
      </c>
      <c r="D4" t="s" s="1">
        <v>100</v>
      </c>
      <c r="E4" s="1"/>
      <c r="F4" t="s" s="1">
        <v>101</v>
      </c>
    </row>
    <row r="5">
      <c r="A5" t="s" s="1">
        <v>105</v>
      </c>
      <c r="B5" t="s" s="1">
        <v>73</v>
      </c>
      <c r="C5" t="b" s="1">
        <v>1</v>
      </c>
      <c r="D5" t="s" s="1">
        <v>106</v>
      </c>
      <c r="E5" s="1"/>
      <c r="F5" t="s" s="1">
        <v>107</v>
      </c>
    </row>
    <row r="6">
      <c r="A6" t="s" s="1">
        <v>111</v>
      </c>
      <c r="B6" t="s" s="1">
        <v>73</v>
      </c>
      <c r="C6" t="b" s="1">
        <v>1</v>
      </c>
      <c r="D6" t="s" s="1">
        <v>112</v>
      </c>
      <c r="E6" s="1"/>
      <c r="F6" t="s" s="1">
        <v>113</v>
      </c>
    </row>
    <row r="7">
      <c r="A7" t="s" s="1">
        <v>173</v>
      </c>
      <c r="B7" t="s" s="1">
        <v>73</v>
      </c>
      <c r="C7" t="b" s="1">
        <v>1</v>
      </c>
      <c r="D7" t="s" s="1">
        <v>174</v>
      </c>
      <c r="E7" s="1"/>
      <c r="F7" t="s" s="1">
        <v>175</v>
      </c>
    </row>
    <row r="8">
      <c r="A8" t="s" s="1">
        <v>179</v>
      </c>
      <c r="B8" t="s" s="1">
        <v>73</v>
      </c>
      <c r="C8" t="b" s="1">
        <v>1</v>
      </c>
      <c r="D8" t="s" s="1">
        <v>180</v>
      </c>
      <c r="E8" s="1"/>
      <c r="F8" t="s" s="1">
        <v>181</v>
      </c>
    </row>
    <row r="9">
      <c r="A9" t="s" s="1">
        <v>302</v>
      </c>
      <c r="B9" t="s" s="1">
        <v>73</v>
      </c>
      <c r="C9" t="b" s="1">
        <v>1</v>
      </c>
      <c r="D9" t="s" s="1">
        <v>303</v>
      </c>
      <c r="E9" s="1"/>
      <c r="F9" t="s" s="1">
        <v>304</v>
      </c>
    </row>
    <row r="10">
      <c r="A10" t="s" s="1">
        <v>607</v>
      </c>
      <c r="B10" t="s" s="1">
        <v>608</v>
      </c>
      <c r="C10" t="b" s="1">
        <v>1</v>
      </c>
      <c r="D10" t="s" s="1">
        <v>609</v>
      </c>
      <c r="E10" s="1"/>
      <c r="F10" t="s" s="1">
        <v>610</v>
      </c>
    </row>
    <row r="11">
      <c r="A11" t="s" s="1">
        <v>613</v>
      </c>
      <c r="B11" t="s" s="1">
        <v>608</v>
      </c>
      <c r="C11" t="b" s="1">
        <v>1</v>
      </c>
      <c r="D11" t="s" s="1">
        <v>614</v>
      </c>
      <c r="E11" s="1"/>
      <c r="F11" t="s" s="1">
        <v>615</v>
      </c>
    </row>
  </sheetData>
  <pageMargins left="0.39000000000000007" right="0.39000000000000007" top="0.87" bottom="0.59" header="0.2" footer="0.2"/>
  <pageSetup paperSize="9" orientation="landscape" r:id="rId1"/>
  <headerFooter>
    <oddHeader>&amp;R&amp;G</oddHeader>
    <oddFooter><![CDATA[&L&8Sheet: &A
File: &F&C&8Version: 
Date: &R&8&P of &N]]>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CIS Marking Scheme Import</vt:lpstr>
      <vt:lpstr>Calculations</vt:lpstr>
    </vt:vector>
  </TitlesOfParts>
  <Company>WorldSkills International Secretariat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2010-04-27T04:25:00Z</dcterms:created>
  <dc:creator>Adam Walsh</dc:creator>
  <cp:lastModifiedBy>Microsoft Office User</cp:lastModifiedBy>
  <cp:lastPrinted>2010-04-28T04:08:36Z</cp:lastPrinted>
  <dcterms:modified xsi:type="dcterms:W3CDTF">2022-03-24T02:45:09Z</dcterms:modified>
</cp:coreProperties>
</file>